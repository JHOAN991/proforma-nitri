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220" tabRatio="600" firstSheet="0" activeTab="0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Hoja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\$#,##0.0000"/>
    <numFmt numFmtId="166" formatCode="\$#,##0.00"/>
  </numFmts>
  <fonts count="11">
    <font>
      <name val="Aptos Narrow"/>
      <family val="2"/>
      <color theme="1"/>
      <sz val="11"/>
      <scheme val="minor"/>
    </font>
    <font>
      <name val="Calibri"/>
      <charset val="1"/>
      <b val="1"/>
      <color rgb="FF1F4E79"/>
      <sz val="16"/>
    </font>
    <font>
      <name val="Calibri"/>
      <charset val="1"/>
      <b val="1"/>
      <color rgb="FFFFFFFF"/>
      <sz val="14"/>
    </font>
    <font>
      <name val="Calibri"/>
      <charset val="1"/>
      <color rgb="FF404040"/>
      <sz val="9"/>
    </font>
    <font>
      <name val="Calibri"/>
      <charset val="1"/>
      <b val="1"/>
      <color rgb="FF1F4E79"/>
      <sz val="9"/>
    </font>
    <font>
      <name val="Calibri"/>
      <charset val="1"/>
      <b val="1"/>
      <sz val="10"/>
    </font>
    <font>
      <name val="Calibri"/>
      <charset val="1"/>
      <color rgb="FF000000"/>
      <sz val="10"/>
    </font>
    <font>
      <name val="Calibri"/>
      <charset val="1"/>
      <b val="1"/>
      <color rgb="FFFFFFFF"/>
      <sz val="11"/>
    </font>
    <font>
      <name val="Calibri"/>
      <charset val="1"/>
      <b val="1"/>
      <color rgb="FF1F4E79"/>
      <sz val="10"/>
    </font>
    <font>
      <name val="Calibri"/>
      <charset val="1"/>
      <b val="1"/>
      <color rgb="FF000000"/>
      <sz val="10"/>
    </font>
    <font>
      <name val="Calibri"/>
      <charset val="1"/>
      <i val="1"/>
      <color rgb="FF808080"/>
      <sz val="8"/>
    </font>
  </fonts>
  <fills count="11">
    <fill>
      <patternFill/>
    </fill>
    <fill>
      <patternFill patternType="gray125"/>
    </fill>
    <fill>
      <patternFill patternType="solid">
        <fgColor rgb="FF1F4E79"/>
        <bgColor rgb="FF1F4E78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F2F2F2"/>
      </patternFill>
    </fill>
    <fill>
      <patternFill patternType="solid">
        <fgColor rgb="FFDEEAF1"/>
        <bgColor rgb="FFEBF3FB"/>
      </patternFill>
    </fill>
    <fill>
      <patternFill patternType="solid">
        <fgColor rgb="FFFFF2CC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BF3FB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/>
      <top style="thin">
        <color rgb="FFB8CCE4"/>
      </top>
      <bottom style="thin">
        <color rgb="FFB8CCE4"/>
      </bottom>
      <diagonal/>
    </border>
    <border>
      <left style="thin">
        <color rgb="FFB8CCE4"/>
      </left>
      <right/>
      <top style="thin">
        <color rgb="FFB8CCE4"/>
      </top>
      <bottom/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medium">
        <color rgb="FF2E75B6"/>
      </left>
      <right/>
      <top style="medium">
        <color rgb="FF2E75B6"/>
      </top>
      <bottom style="medium">
        <color rgb="FF2E75B6"/>
      </bottom>
      <diagonal/>
    </border>
    <border>
      <left/>
      <right/>
      <top style="thin">
        <color rgb="FFB8CCE4"/>
      </top>
      <bottom style="thin">
        <color rgb="FFB8CCE4"/>
      </bottom>
      <diagonal/>
    </border>
    <border>
      <left/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medium">
        <color rgb="FF2E75B6"/>
      </left>
      <right/>
      <top style="medium">
        <color rgb="FF2E75B6"/>
      </top>
      <bottom style="thin">
        <color rgb="FFB8CCE4"/>
      </bottom>
      <diagonal/>
    </border>
    <border>
      <left style="medium">
        <color rgb="FF2E75B6"/>
      </left>
      <right/>
      <top style="thin">
        <color rgb="FFB8CCE4"/>
      </top>
      <bottom style="thin">
        <color rgb="FFB8CCE4"/>
      </bottom>
      <diagonal/>
    </border>
    <border>
      <left/>
      <right/>
      <top style="medium">
        <color rgb="FF2E75B6"/>
      </top>
      <bottom/>
      <diagonal/>
    </border>
    <border>
      <left/>
      <right/>
      <top style="medium">
        <color rgb="FF2E75B6"/>
      </top>
      <bottom style="medium">
        <color rgb="FF2E75B6"/>
      </bottom>
      <diagonal/>
    </border>
    <border>
      <left/>
      <right/>
      <top style="thin">
        <color rgb="FFB8CCE4"/>
      </top>
      <bottom/>
      <diagonal/>
    </border>
    <border>
      <left/>
      <right/>
      <top style="medium">
        <color rgb="FF2E75B6"/>
      </top>
      <bottom style="thin">
        <color rgb="FFB8CCE4"/>
      </bottom>
      <diagonal/>
    </border>
    <border>
      <left/>
      <right style="thin">
        <color rgb="FFB8CCE4"/>
      </right>
      <top style="thin">
        <color rgb="FFB8CCE4"/>
      </top>
      <bottom/>
      <diagonal/>
    </border>
    <border>
      <left style="thin">
        <color rgb="FFB8CCE4"/>
      </left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3" borderId="0" pivotButton="0" quotePrefix="0" xfId="0"/>
    <xf numFmtId="0" fontId="5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0" fillId="5" borderId="0" pivotButton="0" quotePrefix="0" xfId="0"/>
    <xf numFmtId="0" fontId="7" fillId="2" borderId="4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165" fontId="6" fillId="6" borderId="1" applyAlignment="1" pivotButton="0" quotePrefix="0" xfId="0">
      <alignment horizontal="right" vertical="center"/>
    </xf>
    <xf numFmtId="166" fontId="6" fillId="7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166" fontId="9" fillId="4" borderId="1" applyAlignment="1" pivotButton="0" quotePrefix="0" xfId="0">
      <alignment horizontal="right" vertical="center"/>
    </xf>
    <xf numFmtId="166" fontId="6" fillId="6" borderId="1" applyAlignment="1" pivotButton="0" quotePrefix="0" xfId="0">
      <alignment horizontal="right" vertical="center"/>
    </xf>
    <xf numFmtId="166" fontId="7" fillId="2" borderId="4" applyAlignment="1" pivotButton="0" quotePrefix="0" xfId="0">
      <alignment horizontal="right" vertical="center"/>
    </xf>
    <xf numFmtId="0" fontId="0" fillId="2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5" fillId="0" borderId="2" applyAlignment="1" pivotButton="0" quotePrefix="0" xfId="0">
      <alignment horizontal="left" vertical="center"/>
    </xf>
    <xf numFmtId="0" fontId="6" fillId="0" borderId="3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3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left" vertical="center"/>
    </xf>
    <xf numFmtId="0" fontId="7" fillId="2" borderId="5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0" fontId="6" fillId="7" borderId="7" applyAlignment="1" pivotButton="0" quotePrefix="0" xfId="0">
      <alignment horizontal="left" vertical="center"/>
    </xf>
    <xf numFmtId="0" fontId="6" fillId="5" borderId="2" applyAlignment="1" pivotButton="0" quotePrefix="0" xfId="0">
      <alignment horizontal="left" vertical="center"/>
    </xf>
    <xf numFmtId="0" fontId="6" fillId="5" borderId="6" applyAlignment="1" pivotButton="0" quotePrefix="0" xfId="0">
      <alignment horizontal="left" vertical="center"/>
    </xf>
    <xf numFmtId="0" fontId="6" fillId="5" borderId="7" applyAlignment="1" pivotButton="0" quotePrefix="0" xfId="0">
      <alignment horizontal="left" vertical="center"/>
    </xf>
    <xf numFmtId="0" fontId="6" fillId="8" borderId="9" applyAlignment="1" pivotButton="0" quotePrefix="0" xfId="0">
      <alignment horizontal="left" vertical="center"/>
    </xf>
    <xf numFmtId="0" fontId="7" fillId="3" borderId="8" applyAlignment="1" pivotButton="0" quotePrefix="0" xfId="0">
      <alignment horizontal="left" vertical="center"/>
    </xf>
    <xf numFmtId="0" fontId="7" fillId="2" borderId="5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0" fontId="8" fillId="5" borderId="2" applyAlignment="1" pivotButton="0" quotePrefix="0" xfId="0">
      <alignment horizontal="right" vertical="center"/>
    </xf>
    <xf numFmtId="0" fontId="0" fillId="3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0" borderId="6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7" pivotButton="0" quotePrefix="0" xfId="0"/>
    <xf numFmtId="0" fontId="0" fillId="0" borderId="1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"/>
  <sheetViews>
    <sheetView tabSelected="1" zoomScale="78" zoomScaleNormal="100" workbookViewId="0">
      <selection activeCell="I21" sqref="I21"/>
    </sheetView>
  </sheetViews>
  <sheetFormatPr baseColWidth="10" defaultRowHeight="14.5"/>
  <sheetData>
    <row r="1" ht="21" customHeight="1">
      <c r="A1" s="17" t="inlineStr">
        <is>
          <t>NUTRICEREALES DE PANAMÁ, S.A.</t>
        </is>
      </c>
      <c r="I1" s="18" t="inlineStr">
        <is>
          <t>PROFORMA</t>
        </is>
      </c>
    </row>
    <row r="2">
      <c r="A2" s="40" t="n"/>
      <c r="B2" s="40" t="n"/>
      <c r="C2" s="40" t="n"/>
      <c r="D2" s="40" t="n"/>
      <c r="E2" s="40" t="n"/>
      <c r="F2" s="40" t="n"/>
      <c r="G2" s="40" t="n"/>
      <c r="H2" s="40" t="n"/>
      <c r="I2" s="40" t="n"/>
      <c r="J2" s="40" t="n"/>
      <c r="K2" s="40" t="n"/>
    </row>
    <row r="3">
      <c r="A3" s="19" t="inlineStr">
        <is>
          <t>Calle 27 y Ave Frangipany, Ciudad de Panamá, Rep. de Panamá</t>
        </is>
      </c>
      <c r="I3" s="20" t="inlineStr">
        <is>
          <t>N°</t>
        </is>
      </c>
      <c r="K3" s="2" t="n">
        <v>10</v>
      </c>
    </row>
    <row r="4">
      <c r="A4" s="19" t="inlineStr">
        <is>
          <t>Teléfono: (507) 396-9646  |  Web: www.elmolinocriollo.com</t>
        </is>
      </c>
      <c r="I4" s="20" t="inlineStr">
        <is>
          <t>Fecha</t>
        </is>
      </c>
      <c r="K4" s="3" t="n">
        <v>46170</v>
      </c>
    </row>
    <row r="5">
      <c r="A5" s="19" t="inlineStr">
        <is>
          <t>RUC: 1872275-1-717343  DV: 26</t>
        </is>
      </c>
      <c r="I5" s="20" t="inlineStr">
        <is>
          <t>Expira</t>
        </is>
      </c>
      <c r="K5" s="4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24" t="inlineStr">
        <is>
          <t>CLIENTE</t>
        </is>
      </c>
      <c r="E9" s="24" t="inlineStr">
        <is>
          <t>DIRECCIÓN DE ENTREGA</t>
        </is>
      </c>
      <c r="I9" s="24" t="inlineStr">
        <is>
          <t>DATOS DE ENTREGA</t>
        </is>
      </c>
    </row>
    <row r="10">
      <c r="A10" s="21" t="inlineStr">
        <is>
          <t>INVERSIONES EXITPORT, S.A.</t>
        </is>
      </c>
      <c r="B10" s="43" t="n"/>
      <c r="C10" s="43" t="n"/>
      <c r="D10" s="43" t="n"/>
      <c r="E10" s="22" t="inlineStr">
        <is>
          <t>Nutricereales de Panamá, S.A.
Curundu, Calle Dr. José M. Vásquez
Tel: 507-396-8704</t>
        </is>
      </c>
      <c r="F10" s="44" t="n"/>
      <c r="G10" s="44" t="n"/>
      <c r="H10" s="44" t="n"/>
      <c r="I10" s="23" t="inlineStr">
        <is>
          <t>Correo: comercial.exitport@gmail.com</t>
        </is>
      </c>
      <c r="J10" s="43" t="n"/>
      <c r="K10" s="43" t="n"/>
    </row>
    <row r="11">
      <c r="A11" s="23" t="inlineStr">
        <is>
          <t>RUC: 155585438  DV: 58</t>
        </is>
      </c>
      <c r="B11" s="43" t="n"/>
      <c r="C11" s="43" t="n"/>
      <c r="D11" s="43" t="n"/>
      <c r="E11" s="45" t="n"/>
      <c r="I11" s="23" t="inlineStr">
        <is>
          <t>Contacto: Josue Medina</t>
        </is>
      </c>
      <c r="J11" s="43" t="n"/>
      <c r="K11" s="43" t="n"/>
    </row>
    <row r="12">
      <c r="A12" s="25" t="inlineStr">
        <is>
          <t>Pacora, Urbanización Los Lotes, calle principal</t>
        </is>
      </c>
      <c r="B12" s="43" t="n"/>
      <c r="C12" s="43" t="n"/>
      <c r="D12" s="43" t="n"/>
      <c r="E12" s="45" t="n"/>
      <c r="I12" s="23" t="n"/>
      <c r="J12" s="43" t="n"/>
      <c r="K12" s="43" t="n"/>
    </row>
    <row r="13">
      <c r="A13" s="23" t="inlineStr">
        <is>
          <t>Panamá, Pacora  PLAZA EDISON</t>
        </is>
      </c>
      <c r="B13" s="43" t="n"/>
      <c r="C13" s="43" t="n"/>
      <c r="D13" s="43" t="n"/>
      <c r="E13" s="45" t="n"/>
      <c r="I13" s="23" t="n"/>
      <c r="J13" s="43" t="n"/>
      <c r="K13" s="43" t="n"/>
    </row>
    <row r="14" ht="15" customHeight="1" thickBot="1">
      <c r="A14" s="23" t="inlineStr">
        <is>
          <t>Tel: 536-9672674</t>
        </is>
      </c>
      <c r="B14" s="43" t="n"/>
      <c r="C14" s="43" t="n"/>
      <c r="D14" s="43" t="n"/>
      <c r="E14" s="26" t="inlineStr">
        <is>
          <t>Rep. Panamá</t>
        </is>
      </c>
      <c r="F14" s="43" t="n"/>
      <c r="G14" s="43" t="n"/>
      <c r="H14" s="43" t="n"/>
      <c r="I14" s="23" t="n"/>
      <c r="J14" s="43" t="n"/>
      <c r="K14" s="43" t="n"/>
    </row>
    <row r="15" ht="15" customHeight="1" thickBot="1">
      <c r="A15" s="6" t="inlineStr">
        <is>
          <t>ITEM</t>
        </is>
      </c>
      <c r="B15" s="6" t="inlineStr">
        <is>
          <t>UM</t>
        </is>
      </c>
      <c r="C15" s="28" t="inlineStr">
        <is>
          <t>DESCRIPCIÓN</t>
        </is>
      </c>
      <c r="D15" s="46" t="n"/>
      <c r="E15" s="46" t="n"/>
      <c r="F15" s="46" t="n"/>
      <c r="G15" s="46" t="n"/>
      <c r="H15" s="46" t="n"/>
      <c r="I15" s="6" t="inlineStr">
        <is>
          <t>CANT</t>
        </is>
      </c>
      <c r="J15" s="6" t="inlineStr">
        <is>
          <t>PRECIO UN</t>
        </is>
      </c>
      <c r="K15" s="6" t="inlineStr">
        <is>
          <t>TOTAL</t>
        </is>
      </c>
    </row>
    <row r="16">
      <c r="A16" s="7" t="inlineStr">
        <is>
          <t>IM001</t>
        </is>
      </c>
      <c r="B16" s="7" t="n">
        <v>20</v>
      </c>
      <c r="C16" s="8" t="inlineStr">
        <is>
          <t>IMPERIAL SPAGHETTI 454G</t>
        </is>
      </c>
      <c r="D16" s="8" t="n"/>
      <c r="E16" s="8" t="n"/>
      <c r="F16" s="8" t="n"/>
      <c r="G16" s="8" t="n"/>
      <c r="H16" s="8" t="n"/>
      <c r="I16" s="7" t="n">
        <v>733</v>
      </c>
      <c r="J16" s="9" t="n">
        <v>0.2</v>
      </c>
      <c r="K16" s="10">
        <f>IF(J16="","",I16*J16*B16)</f>
        <v/>
      </c>
    </row>
    <row r="17">
      <c r="A17" s="11" t="inlineStr">
        <is>
          <t>IM006</t>
        </is>
      </c>
      <c r="B17" s="11" t="n">
        <v>20</v>
      </c>
      <c r="C17" s="29" t="inlineStr">
        <is>
          <t>IMPERIAL CODITOS 454G</t>
        </is>
      </c>
      <c r="D17" s="43" t="n"/>
      <c r="E17" s="43" t="n"/>
      <c r="F17" s="43" t="n"/>
      <c r="G17" s="43" t="n"/>
      <c r="H17" s="47" t="n"/>
      <c r="I17" s="11" t="n">
        <v>464</v>
      </c>
      <c r="J17" s="9" t="n">
        <v>0.2</v>
      </c>
      <c r="K17" s="12">
        <f>IF(J17="","",I17*J17*B17)</f>
        <v/>
      </c>
    </row>
    <row r="18">
      <c r="A18" s="11" t="inlineStr">
        <is>
          <t>IM002</t>
        </is>
      </c>
      <c r="B18" s="11" t="n">
        <v>40</v>
      </c>
      <c r="C18" s="27" t="inlineStr">
        <is>
          <t>IMPERIAL SPAGHETTI 250</t>
        </is>
      </c>
      <c r="D18" s="43" t="n"/>
      <c r="E18" s="43" t="n"/>
      <c r="F18" s="43" t="n"/>
      <c r="G18" s="43" t="n"/>
      <c r="H18" s="43" t="n"/>
      <c r="I18" s="11" t="n">
        <v>176</v>
      </c>
      <c r="J18" s="9" t="n">
        <v>0.05</v>
      </c>
      <c r="K18" s="10">
        <f>IF(J18="","",I18*J18*B18)</f>
        <v/>
      </c>
    </row>
    <row r="19">
      <c r="A19" t="inlineStr">
        <is>
          <t>IM004</t>
        </is>
      </c>
      <c r="B19" s="11" t="n">
        <v>40</v>
      </c>
      <c r="C19" s="29" t="inlineStr">
        <is>
          <t>IMPERIAL SPAGHETTINI 250</t>
        </is>
      </c>
      <c r="D19" s="43" t="n"/>
      <c r="E19" s="43" t="n"/>
      <c r="F19" s="43" t="n"/>
      <c r="G19" s="43" t="n"/>
      <c r="H19" s="47" t="n"/>
      <c r="I19" s="7" t="n">
        <v>302</v>
      </c>
      <c r="J19" s="9" t="n">
        <v>0.05</v>
      </c>
      <c r="K19" s="12">
        <f>IF(J19="","",I19*J19*B19)</f>
        <v/>
      </c>
    </row>
    <row r="20">
      <c r="A20" t="inlineStr">
        <is>
          <t>IM005</t>
        </is>
      </c>
      <c r="B20" s="7" t="n">
        <v>40</v>
      </c>
      <c r="C20" s="8" t="inlineStr">
        <is>
          <t>IMPERIAL SPAGHETTINI 200</t>
        </is>
      </c>
      <c r="D20" s="43" t="n"/>
      <c r="E20" s="43" t="n"/>
      <c r="F20" s="43" t="n"/>
      <c r="G20" s="43" t="n"/>
      <c r="H20" s="47" t="n"/>
      <c r="I20" s="11" t="n">
        <v>311.94</v>
      </c>
      <c r="J20" s="9" t="n">
        <v>0.03</v>
      </c>
      <c r="K20" s="10">
        <f>IF(J20="","",I20*J20*B20)</f>
        <v/>
      </c>
    </row>
    <row r="21">
      <c r="A21" s="11" t="inlineStr">
        <is>
          <t>IM003</t>
        </is>
      </c>
      <c r="B21" s="11" t="n">
        <v>20</v>
      </c>
      <c r="C21" s="27" t="inlineStr">
        <is>
          <t>IMPERIAL SPAGHETTINI 454</t>
        </is>
      </c>
      <c r="D21" s="43" t="n"/>
      <c r="E21" s="43" t="n"/>
      <c r="F21" s="43" t="n"/>
      <c r="G21" s="43" t="n"/>
      <c r="H21" s="43" t="n"/>
      <c r="I21" s="11" t="n">
        <v>574</v>
      </c>
      <c r="J21" s="9" t="n">
        <v>0.08</v>
      </c>
      <c r="K21" s="12">
        <f>IF(J21="","",I21*J21*B21)</f>
        <v/>
      </c>
    </row>
    <row r="22">
      <c r="A22" t="inlineStr">
        <is>
          <t>IM013</t>
        </is>
      </c>
      <c r="B22" s="7" t="n">
        <v>50</v>
      </c>
      <c r="C22" s="8" t="inlineStr">
        <is>
          <t>IMPERIAL SARDINA EN ACEITE 155</t>
        </is>
      </c>
      <c r="D22" s="43" t="n"/>
      <c r="E22" s="43" t="n"/>
      <c r="F22" s="43" t="n"/>
      <c r="G22" s="43" t="n"/>
      <c r="H22" s="47" t="n"/>
      <c r="I22" s="7" t="n">
        <v>100</v>
      </c>
      <c r="J22" s="9" t="n">
        <v>0.2</v>
      </c>
      <c r="K22" s="12">
        <f>IF(J22="","",I22*J22*B22)</f>
        <v/>
      </c>
    </row>
    <row r="23">
      <c r="A23" t="inlineStr">
        <is>
          <t>IM014</t>
        </is>
      </c>
      <c r="B23" s="11" t="n">
        <v>50</v>
      </c>
      <c r="C23" s="29" t="inlineStr">
        <is>
          <t>IMPERIAL SARDINA EN TOMATE 155</t>
        </is>
      </c>
      <c r="D23" s="43" t="n"/>
      <c r="E23" s="43" t="n"/>
      <c r="F23" s="43" t="n"/>
      <c r="G23" s="43" t="n"/>
      <c r="H23" s="47" t="n"/>
      <c r="I23" s="11" t="n">
        <v>100</v>
      </c>
      <c r="J23" s="9" t="n">
        <v>0.2</v>
      </c>
      <c r="K23" s="10">
        <f>IF(J23="","",I23*J23*B23)</f>
        <v/>
      </c>
    </row>
    <row r="24">
      <c r="A24" t="inlineStr">
        <is>
          <t>IM015</t>
        </is>
      </c>
      <c r="B24" s="7" t="n">
        <v>50</v>
      </c>
      <c r="C24" s="8" t="inlineStr">
        <is>
          <t>IMPERIAL SARDINA TOM PIC 155</t>
        </is>
      </c>
      <c r="D24" s="43" t="n"/>
      <c r="E24" s="43" t="n"/>
      <c r="F24" s="43" t="n"/>
      <c r="G24" s="43" t="n"/>
      <c r="H24" s="47" t="n"/>
      <c r="I24" s="7" t="n">
        <v>100</v>
      </c>
      <c r="J24" s="9" t="n">
        <v>0.2</v>
      </c>
      <c r="K24" s="12">
        <f>IF(J24="","",I24*J24*B24)</f>
        <v/>
      </c>
    </row>
    <row r="25">
      <c r="A25" s="11" t="n"/>
      <c r="B25" s="11" t="n"/>
      <c r="C25" s="27" t="n"/>
      <c r="D25" s="43" t="n"/>
      <c r="E25" s="43" t="n"/>
      <c r="F25" s="43" t="n"/>
      <c r="G25" s="43" t="n"/>
      <c r="H25" s="43" t="n"/>
      <c r="I25" s="11" t="n"/>
      <c r="J25" s="9" t="n"/>
      <c r="K25" s="10">
        <f>IF(J25="","",I25*J25*B25)</f>
        <v/>
      </c>
    </row>
    <row r="26">
      <c r="A26" s="7" t="n"/>
      <c r="B26" s="7" t="n"/>
      <c r="C26" s="32" t="n"/>
      <c r="D26" s="43" t="n"/>
      <c r="E26" s="43" t="n"/>
      <c r="F26" s="43" t="n"/>
      <c r="G26" s="43" t="n"/>
      <c r="H26" s="43" t="n"/>
      <c r="I26" s="7" t="n"/>
      <c r="J26" s="9" t="n"/>
      <c r="K26" s="12">
        <f>IF(J26="","",I26*J26*B26)</f>
        <v/>
      </c>
    </row>
    <row r="27">
      <c r="A27" s="11" t="n"/>
      <c r="B27" s="11" t="n"/>
      <c r="C27" s="27" t="n"/>
      <c r="D27" s="43" t="n"/>
      <c r="E27" s="43" t="n"/>
      <c r="F27" s="43" t="n"/>
      <c r="G27" s="43" t="n"/>
      <c r="H27" s="43" t="n"/>
      <c r="I27" s="11" t="n"/>
      <c r="J27" s="9" t="n"/>
      <c r="K27" s="10">
        <f>IF(J27="","",I27*J27*B27)</f>
        <v/>
      </c>
    </row>
    <row r="28">
      <c r="A28" s="7" t="n"/>
      <c r="B28" s="7" t="n"/>
      <c r="C28" s="32" t="n"/>
      <c r="D28" s="43" t="n"/>
      <c r="E28" s="43" t="n"/>
      <c r="F28" s="43" t="n"/>
      <c r="G28" s="43" t="n"/>
      <c r="H28" s="43" t="n"/>
      <c r="I28" s="7" t="n"/>
      <c r="J28" s="9" t="n"/>
      <c r="K28" s="12">
        <f>IF(J28="","",I28*J28*B28)</f>
        <v/>
      </c>
    </row>
    <row r="29">
      <c r="A29" s="11" t="n"/>
      <c r="B29" s="11" t="n"/>
      <c r="C29" s="27" t="n"/>
      <c r="D29" s="43" t="n"/>
      <c r="E29" s="43" t="n"/>
      <c r="F29" s="43" t="n"/>
      <c r="G29" s="43" t="n"/>
      <c r="H29" s="43" t="n"/>
      <c r="I29" s="11" t="n"/>
      <c r="J29" s="9" t="n"/>
      <c r="K29" s="10">
        <f>IF(J29="","",I29*J29*B29)</f>
        <v/>
      </c>
    </row>
    <row r="30">
      <c r="A30" s="7" t="n"/>
      <c r="B30" s="7" t="n"/>
      <c r="C30" s="32" t="n"/>
      <c r="D30" s="43" t="n"/>
      <c r="E30" s="43" t="n"/>
      <c r="F30" s="43" t="n"/>
      <c r="G30" s="43" t="n"/>
      <c r="H30" s="43" t="n"/>
      <c r="I30" s="7" t="n"/>
      <c r="J30" s="9" t="n"/>
      <c r="K30" s="12">
        <f>IF(J30="","",I30*J30*B30)</f>
        <v/>
      </c>
    </row>
    <row r="31">
      <c r="A31" s="11" t="n"/>
      <c r="B31" s="11" t="n"/>
      <c r="C31" s="27" t="n"/>
      <c r="D31" s="43" t="n"/>
      <c r="E31" s="43" t="n"/>
      <c r="F31" s="43" t="n"/>
      <c r="G31" s="43" t="n"/>
      <c r="H31" s="43" t="n"/>
      <c r="I31" s="11" t="n"/>
      <c r="J31" s="9" t="n"/>
      <c r="K31" s="10">
        <f>IF(J31="","",I31*J31*B31)</f>
        <v/>
      </c>
    </row>
    <row r="32">
      <c r="A32" s="7" t="n"/>
      <c r="B32" s="7" t="n"/>
      <c r="C32" s="32" t="n"/>
      <c r="D32" s="43" t="n"/>
      <c r="E32" s="43" t="n"/>
      <c r="F32" s="43" t="n"/>
      <c r="G32" s="43" t="n"/>
      <c r="H32" s="43" t="n"/>
      <c r="I32" s="7" t="n"/>
      <c r="J32" s="9" t="n"/>
      <c r="K32" s="12">
        <f>IF(J32="","",I32*J32*B32)</f>
        <v/>
      </c>
    </row>
    <row r="33">
      <c r="A33" s="11" t="n"/>
      <c r="B33" s="11" t="n"/>
      <c r="C33" s="27" t="n"/>
      <c r="D33" s="43" t="n"/>
      <c r="E33" s="43" t="n"/>
      <c r="F33" s="43" t="n"/>
      <c r="G33" s="43" t="n"/>
      <c r="H33" s="43" t="n"/>
      <c r="I33" s="11" t="n"/>
      <c r="J33" s="9" t="n"/>
      <c r="K33" s="10">
        <f>IF(J33="","",I33*J33*B33)</f>
        <v/>
      </c>
    </row>
    <row r="34">
      <c r="A34" s="7" t="n"/>
      <c r="B34" s="7" t="n"/>
      <c r="C34" s="32" t="n"/>
      <c r="D34" s="43" t="n"/>
      <c r="E34" s="43" t="n"/>
      <c r="F34" s="43" t="n"/>
      <c r="G34" s="43" t="n"/>
      <c r="H34" s="43" t="n"/>
      <c r="I34" s="7" t="n"/>
      <c r="J34" s="9" t="n"/>
      <c r="K34" s="12">
        <f>IF(J34="","",I34*J34*B34)</f>
        <v/>
      </c>
    </row>
    <row r="35">
      <c r="A35" s="11" t="n"/>
      <c r="B35" s="11" t="n"/>
      <c r="C35" s="27" t="n"/>
      <c r="D35" s="43" t="n"/>
      <c r="E35" s="43" t="n"/>
      <c r="F35" s="43" t="n"/>
      <c r="G35" s="43" t="n"/>
      <c r="H35" s="43" t="n"/>
      <c r="I35" s="11" t="n"/>
      <c r="J35" s="9" t="n"/>
      <c r="K35" s="10">
        <f>IF(J35="","",I35*J35*B35)</f>
        <v/>
      </c>
    </row>
    <row r="36">
      <c r="A36" s="7" t="n"/>
      <c r="B36" s="7" t="n"/>
      <c r="C36" s="32" t="n"/>
      <c r="D36" s="43" t="n"/>
      <c r="E36" s="43" t="n"/>
      <c r="F36" s="43" t="n"/>
      <c r="G36" s="43" t="n"/>
      <c r="H36" s="43" t="n"/>
      <c r="I36" s="7" t="n"/>
      <c r="J36" s="9" t="n"/>
      <c r="K36" s="12">
        <f>IF(J36="","",I36*J36*B36)</f>
        <v/>
      </c>
    </row>
    <row r="37">
      <c r="A37" s="11" t="n"/>
      <c r="B37" s="11" t="n"/>
      <c r="C37" s="27" t="n"/>
      <c r="D37" s="43" t="n"/>
      <c r="E37" s="43" t="n"/>
      <c r="F37" s="43" t="n"/>
      <c r="G37" s="43" t="n"/>
      <c r="H37" s="43" t="n"/>
      <c r="I37" s="11" t="n"/>
      <c r="J37" s="9" t="n"/>
      <c r="K37" s="10">
        <f>IF(J37="","",I37*J37*B37)</f>
        <v/>
      </c>
    </row>
    <row r="38">
      <c r="A38" s="7" t="n"/>
      <c r="B38" s="7" t="n"/>
      <c r="C38" s="32" t="n"/>
      <c r="D38" s="43" t="n"/>
      <c r="E38" s="43" t="n"/>
      <c r="F38" s="43" t="n"/>
      <c r="G38" s="43" t="n"/>
      <c r="H38" s="43" t="n"/>
      <c r="I38" s="7" t="n"/>
      <c r="J38" s="9" t="n"/>
      <c r="K38" s="12">
        <f>IF(J38="","",I38*J38*B38)</f>
        <v/>
      </c>
    </row>
    <row r="39">
      <c r="A39" s="11" t="n"/>
      <c r="B39" s="11" t="n"/>
      <c r="C39" s="27" t="n"/>
      <c r="D39" s="43" t="n"/>
      <c r="E39" s="43" t="n"/>
      <c r="F39" s="43" t="n"/>
      <c r="G39" s="43" t="n"/>
      <c r="H39" s="43" t="n"/>
      <c r="I39" s="11" t="n"/>
      <c r="J39" s="9" t="n"/>
      <c r="K39" s="10">
        <f>IF(J39="","",I39*J39*B39)</f>
        <v/>
      </c>
    </row>
    <row r="40">
      <c r="A40" s="7" t="n"/>
      <c r="B40" s="7" t="n"/>
      <c r="C40" s="32" t="n"/>
      <c r="D40" s="43" t="n"/>
      <c r="E40" s="43" t="n"/>
      <c r="F40" s="43" t="n"/>
      <c r="G40" s="43" t="n"/>
      <c r="H40" s="43" t="n"/>
      <c r="I40" s="7" t="n"/>
      <c r="J40" s="9" t="n"/>
      <c r="K40" s="12">
        <f>IF(J40="","",I40*J40*B40)</f>
        <v/>
      </c>
    </row>
    <row r="41">
      <c r="A41" s="11" t="n"/>
      <c r="B41" s="11" t="n"/>
      <c r="C41" s="27" t="n"/>
      <c r="D41" s="43" t="n"/>
      <c r="E41" s="43" t="n"/>
      <c r="F41" s="43" t="n"/>
      <c r="G41" s="43" t="n"/>
      <c r="H41" s="43" t="n"/>
      <c r="I41" s="11" t="n"/>
      <c r="J41" s="9" t="n"/>
      <c r="K41" s="10">
        <f>IF(J41="","",I41*J41*B41)</f>
        <v/>
      </c>
    </row>
    <row r="42">
      <c r="A42" s="7" t="n"/>
      <c r="B42" s="7" t="n"/>
      <c r="C42" s="32" t="n"/>
      <c r="D42" s="43" t="n"/>
      <c r="E42" s="43" t="n"/>
      <c r="F42" s="43" t="n"/>
      <c r="G42" s="43" t="n"/>
      <c r="H42" s="43" t="n"/>
      <c r="I42" s="7" t="n"/>
      <c r="J42" s="9" t="n"/>
      <c r="K42" s="12">
        <f>IF(J42="","",I42*J42*B42)</f>
        <v/>
      </c>
    </row>
    <row r="43">
      <c r="A43" s="11" t="n"/>
      <c r="B43" s="11" t="n"/>
      <c r="C43" s="27" t="n"/>
      <c r="D43" s="43" t="n"/>
      <c r="E43" s="43" t="n"/>
      <c r="F43" s="43" t="n"/>
      <c r="G43" s="43" t="n"/>
      <c r="H43" s="43" t="n"/>
      <c r="I43" s="11" t="n"/>
      <c r="J43" s="9" t="n"/>
      <c r="K43" s="10">
        <f>IF(J43="","",I43*J43*B43)</f>
        <v/>
      </c>
    </row>
    <row r="44">
      <c r="A44" s="7" t="n"/>
      <c r="B44" s="7" t="n"/>
      <c r="C44" s="32" t="n"/>
      <c r="D44" s="43" t="n"/>
      <c r="E44" s="43" t="n"/>
      <c r="F44" s="43" t="n"/>
      <c r="G44" s="43" t="n"/>
      <c r="H44" s="43" t="n"/>
      <c r="I44" s="7" t="n"/>
      <c r="J44" s="9" t="n"/>
      <c r="K44" s="12">
        <f>IF(J44="","",I44*J44*B44)</f>
        <v/>
      </c>
    </row>
    <row r="45">
      <c r="A45" s="11" t="n"/>
      <c r="B45" s="11" t="n"/>
      <c r="C45" s="27" t="n"/>
      <c r="D45" s="43" t="n"/>
      <c r="E45" s="43" t="n"/>
      <c r="F45" s="43" t="n"/>
      <c r="G45" s="43" t="n"/>
      <c r="H45" s="43" t="n"/>
      <c r="I45" s="11" t="n"/>
      <c r="J45" s="9" t="n"/>
      <c r="K45" s="10">
        <f>IF(J45="","",I45*J45*B45)</f>
        <v/>
      </c>
    </row>
    <row r="46">
      <c r="A46" s="7" t="n"/>
      <c r="B46" s="7" t="n"/>
      <c r="C46" s="32" t="n"/>
      <c r="D46" s="43" t="n"/>
      <c r="E46" s="43" t="n"/>
      <c r="F46" s="43" t="n"/>
      <c r="G46" s="43" t="n"/>
      <c r="H46" s="43" t="n"/>
      <c r="I46" s="7" t="n"/>
      <c r="J46" s="9" t="n"/>
      <c r="K46" s="12">
        <f>IF(J46="","",I46*J46*B46)</f>
        <v/>
      </c>
    </row>
    <row r="47">
      <c r="A47" s="11" t="n"/>
      <c r="B47" s="11" t="n"/>
      <c r="C47" s="27" t="n"/>
      <c r="D47" s="43" t="n"/>
      <c r="E47" s="43" t="n"/>
      <c r="F47" s="43" t="n"/>
      <c r="G47" s="43" t="n"/>
      <c r="H47" s="43" t="n"/>
      <c r="I47" s="11" t="n"/>
      <c r="J47" s="9" t="n"/>
      <c r="K47" s="10">
        <f>IF(J47="","",I47*J47*B47)</f>
        <v/>
      </c>
    </row>
    <row r="48">
      <c r="A48" s="7" t="n"/>
      <c r="B48" s="7" t="n"/>
      <c r="C48" s="32" t="n"/>
      <c r="D48" s="43" t="n"/>
      <c r="E48" s="43" t="n"/>
      <c r="F48" s="43" t="n"/>
      <c r="G48" s="43" t="n"/>
      <c r="H48" s="43" t="n"/>
      <c r="I48" s="7" t="n"/>
      <c r="J48" s="9" t="n"/>
      <c r="K48" s="12">
        <f>IF(J48="","",I48*J48*B48)</f>
        <v/>
      </c>
    </row>
    <row r="49">
      <c r="A49" s="11" t="n"/>
      <c r="B49" s="11" t="n"/>
      <c r="C49" s="27" t="n"/>
      <c r="D49" s="43" t="n"/>
      <c r="E49" s="43" t="n"/>
      <c r="F49" s="43" t="n"/>
      <c r="G49" s="43" t="n"/>
      <c r="H49" s="43" t="n"/>
      <c r="I49" s="11" t="n"/>
      <c r="J49" s="9" t="n"/>
      <c r="K49" s="10">
        <f>IF(J49="","",I49*J49*B49)</f>
        <v/>
      </c>
    </row>
    <row r="50">
      <c r="A50" s="7" t="n"/>
      <c r="B50" s="7" t="n"/>
      <c r="C50" s="32" t="n"/>
      <c r="D50" s="43" t="n"/>
      <c r="E50" s="43" t="n"/>
      <c r="F50" s="43" t="n"/>
      <c r="G50" s="43" t="n"/>
      <c r="H50" s="43" t="n"/>
      <c r="I50" s="7" t="n"/>
      <c r="J50" s="9" t="n"/>
      <c r="K50" s="12">
        <f>IF(J50="","",I50*J50*B50)</f>
        <v/>
      </c>
    </row>
    <row r="51">
      <c r="A51" s="11" t="n"/>
      <c r="B51" s="11" t="n"/>
      <c r="C51" s="27" t="n"/>
      <c r="D51" s="43" t="n"/>
      <c r="E51" s="43" t="n"/>
      <c r="F51" s="43" t="n"/>
      <c r="G51" s="43" t="n"/>
      <c r="H51" s="43" t="n"/>
      <c r="I51" s="11" t="n"/>
      <c r="J51" s="9" t="n"/>
      <c r="K51" s="10">
        <f>IF(J51="","",I51*J51*B51)</f>
        <v/>
      </c>
    </row>
    <row r="52">
      <c r="A52" s="7" t="n"/>
      <c r="B52" s="7" t="n"/>
      <c r="C52" s="32" t="n"/>
      <c r="D52" s="43" t="n"/>
      <c r="E52" s="43" t="n"/>
      <c r="F52" s="43" t="n"/>
      <c r="G52" s="43" t="n"/>
      <c r="H52" s="43" t="n"/>
      <c r="I52" s="7" t="n"/>
      <c r="J52" s="9" t="n"/>
      <c r="K52" s="12">
        <f>IF(J52="","",I52*J52*B52)</f>
        <v/>
      </c>
    </row>
    <row r="53">
      <c r="A53" s="11" t="n"/>
      <c r="B53" s="11" t="n"/>
      <c r="C53" s="27" t="n"/>
      <c r="D53" s="43" t="n"/>
      <c r="E53" s="43" t="n"/>
      <c r="F53" s="43" t="n"/>
      <c r="G53" s="43" t="n"/>
      <c r="H53" s="43" t="n"/>
      <c r="I53" s="11" t="n"/>
      <c r="J53" s="9" t="n"/>
      <c r="K53" s="10">
        <f>IF(J53="","",I53*J53*B53)</f>
        <v/>
      </c>
    </row>
    <row r="54">
      <c r="A54" s="7" t="n"/>
      <c r="B54" s="7" t="n"/>
      <c r="C54" s="32" t="n"/>
      <c r="D54" s="43" t="n"/>
      <c r="E54" s="43" t="n"/>
      <c r="F54" s="43" t="n"/>
      <c r="G54" s="43" t="n"/>
      <c r="H54" s="43" t="n"/>
      <c r="I54" s="7" t="n"/>
      <c r="J54" s="9" t="n"/>
      <c r="K54" s="12">
        <f>IF(J54="","",I54*J54*B54)</f>
        <v/>
      </c>
    </row>
    <row r="55">
      <c r="A55" s="11" t="n"/>
      <c r="B55" s="11" t="n"/>
      <c r="C55" s="27" t="n"/>
      <c r="D55" s="43" t="n"/>
      <c r="E55" s="43" t="n"/>
      <c r="F55" s="43" t="n"/>
      <c r="G55" s="43" t="n"/>
      <c r="H55" s="43" t="n"/>
      <c r="I55" s="11" t="n"/>
      <c r="J55" s="9" t="n"/>
      <c r="K55" s="10">
        <f>IF(J55="","",I55*J55*B55)</f>
        <v/>
      </c>
    </row>
    <row r="56">
      <c r="A56" s="7" t="n"/>
      <c r="B56" s="7" t="n"/>
      <c r="C56" s="32" t="n"/>
      <c r="D56" s="43" t="n"/>
      <c r="E56" s="43" t="n"/>
      <c r="F56" s="43" t="n"/>
      <c r="G56" s="43" t="n"/>
      <c r="H56" s="43" t="n"/>
      <c r="I56" s="7" t="n"/>
      <c r="J56" s="9" t="n"/>
      <c r="K56" s="12">
        <f>IF(J56="","",I56*J56*B56)</f>
        <v/>
      </c>
    </row>
    <row r="57">
      <c r="A57" s="11" t="n"/>
      <c r="B57" s="11" t="n"/>
      <c r="C57" s="27" t="n"/>
      <c r="D57" s="43" t="n"/>
      <c r="E57" s="43" t="n"/>
      <c r="F57" s="43" t="n"/>
      <c r="G57" s="43" t="n"/>
      <c r="H57" s="43" t="n"/>
      <c r="I57" s="11" t="n"/>
      <c r="J57" s="9" t="n"/>
      <c r="K57" s="10">
        <f>IF(J57="","",I57*J57*B57)</f>
        <v/>
      </c>
    </row>
    <row r="58">
      <c r="A58" s="7" t="n"/>
      <c r="B58" s="7" t="n"/>
      <c r="C58" s="32" t="n"/>
      <c r="D58" s="43" t="n"/>
      <c r="E58" s="43" t="n"/>
      <c r="F58" s="43" t="n"/>
      <c r="G58" s="43" t="n"/>
      <c r="H58" s="43" t="n"/>
      <c r="I58" s="7" t="n"/>
      <c r="J58" s="9" t="n"/>
      <c r="K58" s="12">
        <f>IF(J58="","",I58*J58*B58)</f>
        <v/>
      </c>
    </row>
    <row r="59">
      <c r="A59" s="11" t="n"/>
      <c r="B59" s="11" t="n"/>
      <c r="C59" s="27" t="n"/>
      <c r="D59" s="43" t="n"/>
      <c r="E59" s="43" t="n"/>
      <c r="F59" s="43" t="n"/>
      <c r="G59" s="43" t="n"/>
      <c r="H59" s="43" t="n"/>
      <c r="I59" s="11" t="n"/>
      <c r="J59" s="9" t="n"/>
      <c r="K59" s="10">
        <f>IF(J59="","",I59*J59*B59)</f>
        <v/>
      </c>
    </row>
    <row r="60">
      <c r="A60" s="7" t="n"/>
      <c r="B60" s="7" t="n"/>
      <c r="C60" s="32" t="n"/>
      <c r="D60" s="43" t="n"/>
      <c r="E60" s="43" t="n"/>
      <c r="F60" s="43" t="n"/>
      <c r="G60" s="43" t="n"/>
      <c r="H60" s="43" t="n"/>
      <c r="I60" s="7" t="n"/>
      <c r="J60" s="9" t="n"/>
      <c r="K60" s="12">
        <f>IF(J60="","",I60*J60*B60)</f>
        <v/>
      </c>
    </row>
    <row r="61" ht="15" customHeight="1" thickBot="1">
      <c r="A61" s="11" t="n"/>
      <c r="B61" s="11" t="n"/>
      <c r="C61" s="27" t="n"/>
      <c r="D61" s="43" t="n"/>
      <c r="E61" s="43" t="n"/>
      <c r="F61" s="43" t="n"/>
      <c r="G61" s="43" t="n"/>
      <c r="H61" s="43" t="n"/>
      <c r="I61" s="11" t="n"/>
      <c r="J61" s="9" t="n"/>
      <c r="K61" s="10">
        <f>IF(J61="","",I61*J61*B61)</f>
        <v/>
      </c>
    </row>
    <row r="62">
      <c r="A62" s="36" t="inlineStr">
        <is>
          <t>TÉRMINOS DE VENTA Y OTROS COMENTARIOS</t>
        </is>
      </c>
      <c r="B62" s="48" t="n"/>
      <c r="C62" s="48" t="n"/>
      <c r="D62" s="48" t="n"/>
      <c r="E62" s="48" t="n"/>
      <c r="F62" s="48" t="n"/>
      <c r="G62" s="48" t="n"/>
      <c r="H62" s="48" t="n"/>
    </row>
    <row r="63">
      <c r="A63" s="35" t="inlineStr">
        <is>
          <t>NUTRICEREALES DE PANAMÁ, S.A.</t>
        </is>
      </c>
      <c r="B63" s="43" t="n"/>
      <c r="C63" s="43" t="n"/>
      <c r="D63" s="43" t="n"/>
      <c r="E63" s="43" t="n"/>
      <c r="F63" s="43" t="n"/>
      <c r="G63" s="43" t="n"/>
      <c r="H63" s="43" t="n"/>
    </row>
    <row r="64">
      <c r="A64" s="35" t="inlineStr">
        <is>
          <t>CUENTA CORRIENTE: 100392760</t>
        </is>
      </c>
      <c r="B64" s="43" t="n"/>
      <c r="C64" s="43" t="n"/>
      <c r="D64" s="43" t="n"/>
      <c r="E64" s="43" t="n"/>
      <c r="F64" s="43" t="n"/>
      <c r="G64" s="43" t="n"/>
      <c r="H64" s="43" t="n"/>
    </row>
    <row r="65">
      <c r="A65" s="35" t="inlineStr">
        <is>
          <t>BAC Credomatic</t>
        </is>
      </c>
      <c r="B65" s="43" t="n"/>
      <c r="C65" s="43" t="n"/>
      <c r="D65" s="43" t="n"/>
      <c r="E65" s="43" t="n"/>
      <c r="F65" s="43" t="n"/>
      <c r="G65" s="43" t="n"/>
      <c r="H65" s="43" t="n"/>
    </row>
    <row r="66">
      <c r="A66" s="35" t="n"/>
      <c r="B66" s="43" t="n"/>
      <c r="C66" s="43" t="n"/>
      <c r="D66" s="43" t="n"/>
      <c r="E66" s="43" t="n"/>
      <c r="F66" s="43" t="n"/>
      <c r="G66" s="43" t="n"/>
      <c r="H66" s="43" t="n"/>
    </row>
    <row r="67">
      <c r="I67" s="39" t="inlineStr">
        <is>
          <t>SUBTOTAL</t>
        </is>
      </c>
      <c r="J67" s="43" t="n"/>
      <c r="K67" s="13">
        <f>SUM(K16:K61)</f>
        <v/>
      </c>
    </row>
    <row r="68">
      <c r="I68" s="39" t="inlineStr">
        <is>
          <t>DESCUENTO</t>
        </is>
      </c>
      <c r="J68" s="43" t="n"/>
      <c r="K68" s="14" t="n">
        <v>0</v>
      </c>
    </row>
    <row r="69" ht="15" customHeight="1" thickBot="1">
      <c r="I69" s="40" t="n"/>
    </row>
    <row r="70" ht="15" customHeight="1" thickBot="1">
      <c r="I70" s="37" t="inlineStr">
        <is>
          <t>TOTAL  USD</t>
        </is>
      </c>
      <c r="J70" s="46" t="n"/>
      <c r="K70" s="15">
        <f>K67-K68</f>
        <v/>
      </c>
    </row>
    <row r="71">
      <c r="A71" s="38" t="inlineStr">
        <is>
          <t>www.elmolinocriollo.com  |  www.nutricereales.com</t>
        </is>
      </c>
      <c r="I71" s="20" t="inlineStr">
        <is>
          <t>Moneda: USD</t>
        </is>
      </c>
    </row>
    <row r="7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</row>
  </sheetData>
  <mergeCells count="80">
    <mergeCell ref="C25:H25"/>
    <mergeCell ref="C55:H55"/>
    <mergeCell ref="C59:H59"/>
    <mergeCell ref="A13:D13"/>
    <mergeCell ref="C46:H46"/>
    <mergeCell ref="C52:H52"/>
    <mergeCell ref="C61:H61"/>
    <mergeCell ref="C39:H39"/>
    <mergeCell ref="A66:H66"/>
    <mergeCell ref="C48:H48"/>
    <mergeCell ref="C32:H32"/>
    <mergeCell ref="C38:H38"/>
    <mergeCell ref="I10:K10"/>
    <mergeCell ref="A3:H3"/>
    <mergeCell ref="A5:H5"/>
    <mergeCell ref="C15:H15"/>
    <mergeCell ref="C24:H24"/>
    <mergeCell ref="C26:H26"/>
    <mergeCell ref="C41:H41"/>
    <mergeCell ref="C50:H50"/>
    <mergeCell ref="I12:K12"/>
    <mergeCell ref="C43:H43"/>
    <mergeCell ref="I70:J70"/>
    <mergeCell ref="E10:H13"/>
    <mergeCell ref="A9:D9"/>
    <mergeCell ref="C36:H36"/>
    <mergeCell ref="I14:K14"/>
    <mergeCell ref="I1:K1"/>
    <mergeCell ref="A11:D11"/>
    <mergeCell ref="E14:H14"/>
    <mergeCell ref="C19:H19"/>
    <mergeCell ref="C28:H28"/>
    <mergeCell ref="C37:H37"/>
    <mergeCell ref="C30:H30"/>
    <mergeCell ref="A62:H62"/>
    <mergeCell ref="C54:H54"/>
    <mergeCell ref="C40:H40"/>
    <mergeCell ref="A64:H64"/>
    <mergeCell ref="C56:H56"/>
    <mergeCell ref="A10:D10"/>
    <mergeCell ref="C27:H27"/>
    <mergeCell ref="C17:H17"/>
    <mergeCell ref="C57:H57"/>
    <mergeCell ref="I13:K13"/>
    <mergeCell ref="A71:H71"/>
    <mergeCell ref="C53:H53"/>
    <mergeCell ref="C34:H34"/>
    <mergeCell ref="C58:H58"/>
    <mergeCell ref="A12:D12"/>
    <mergeCell ref="A63:H63"/>
    <mergeCell ref="C45:H45"/>
    <mergeCell ref="C20:H20"/>
    <mergeCell ref="C29:H29"/>
    <mergeCell ref="A14:D14"/>
    <mergeCell ref="C47:H47"/>
    <mergeCell ref="C44:H44"/>
    <mergeCell ref="C22:H22"/>
    <mergeCell ref="I71:K71"/>
    <mergeCell ref="C31:H31"/>
    <mergeCell ref="A1:H1"/>
    <mergeCell ref="C21:H21"/>
    <mergeCell ref="C51:H51"/>
    <mergeCell ref="C60:H60"/>
    <mergeCell ref="A65:H65"/>
    <mergeCell ref="C23:H23"/>
    <mergeCell ref="I3:J3"/>
    <mergeCell ref="I68:J68"/>
    <mergeCell ref="I9:K9"/>
    <mergeCell ref="I69:K69"/>
    <mergeCell ref="I67:J67"/>
    <mergeCell ref="I5:J5"/>
    <mergeCell ref="C49:H49"/>
    <mergeCell ref="C18:H18"/>
    <mergeCell ref="C33:H33"/>
    <mergeCell ref="A4:H4"/>
    <mergeCell ref="I11:K11"/>
    <mergeCell ref="C42:H42"/>
    <mergeCell ref="E9:H9"/>
    <mergeCell ref="I4:J4"/>
    <mergeCell ref="C35:H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D23" sqref="D23"/>
    </sheetView>
  </sheetViews>
  <sheetFormatPr baseColWidth="10" defaultRowHeight="14.5"/>
  <sheetData>
    <row r="1">
      <c r="A1" t="inlineStr">
        <is>
          <t>Categoria</t>
        </is>
      </c>
      <c r="B1" t="inlineStr">
        <is>
          <t>No. Producto</t>
        </is>
      </c>
      <c r="C1" t="inlineStr">
        <is>
          <t>Descripcion Producto</t>
        </is>
      </c>
      <c r="D1" t="inlineStr">
        <is>
          <t>tamaño</t>
        </is>
      </c>
    </row>
    <row r="2">
      <c r="A2" t="inlineStr">
        <is>
          <t>ATUN</t>
        </is>
      </c>
      <c r="B2" t="inlineStr">
        <is>
          <t>IM011</t>
        </is>
      </c>
      <c r="C2" t="inlineStr">
        <is>
          <t>IMPERIAL ATUN TROZOS EN AGUA</t>
        </is>
      </c>
      <c r="D2" t="inlineStr">
        <is>
          <t>48/170 GRAMOS</t>
        </is>
      </c>
    </row>
    <row r="3">
      <c r="A3" t="inlineStr">
        <is>
          <t>ATUN</t>
        </is>
      </c>
      <c r="B3" t="inlineStr">
        <is>
          <t>IM012</t>
        </is>
      </c>
      <c r="C3" t="inlineStr">
        <is>
          <t>IMPERIAL ATUN TROZOS EN ACEITE</t>
        </is>
      </c>
      <c r="D3" t="inlineStr">
        <is>
          <t>48/170 GRAMOS</t>
        </is>
      </c>
    </row>
    <row r="4">
      <c r="A4" t="inlineStr">
        <is>
          <t>PASTAS</t>
        </is>
      </c>
      <c r="B4" t="inlineStr">
        <is>
          <t>IM001</t>
        </is>
      </c>
      <c r="C4" t="inlineStr">
        <is>
          <t>IMPERIAL SPAGHETTI 454</t>
        </is>
      </c>
      <c r="D4" t="inlineStr">
        <is>
          <t>20/454 GRAMOS</t>
        </is>
      </c>
    </row>
    <row r="5">
      <c r="A5" t="inlineStr">
        <is>
          <t>PASTAS</t>
        </is>
      </c>
      <c r="B5" t="inlineStr">
        <is>
          <t>IM002</t>
        </is>
      </c>
      <c r="C5" t="inlineStr">
        <is>
          <t>IMPERIAL SPAGHETTI 250</t>
        </is>
      </c>
      <c r="D5" t="inlineStr">
        <is>
          <t>40/250 GRAMOS</t>
        </is>
      </c>
    </row>
    <row r="6">
      <c r="A6" t="inlineStr">
        <is>
          <t>PASTAS</t>
        </is>
      </c>
      <c r="B6" t="inlineStr">
        <is>
          <t>IM003</t>
        </is>
      </c>
      <c r="C6" t="inlineStr">
        <is>
          <t>IMPERIAL SPAGHETTINI 454</t>
        </is>
      </c>
      <c r="D6" t="inlineStr">
        <is>
          <t>20/454 GRAMOS</t>
        </is>
      </c>
    </row>
    <row r="7">
      <c r="A7" t="inlineStr">
        <is>
          <t>PASTAS</t>
        </is>
      </c>
      <c r="B7" t="inlineStr">
        <is>
          <t>IM004</t>
        </is>
      </c>
      <c r="C7" t="inlineStr">
        <is>
          <t>IMPERIAL SPAGHETTINI 250</t>
        </is>
      </c>
      <c r="D7" t="inlineStr">
        <is>
          <t>40/250 GRAMOS</t>
        </is>
      </c>
    </row>
    <row r="8">
      <c r="A8" t="inlineStr">
        <is>
          <t>PASTAS</t>
        </is>
      </c>
      <c r="B8" t="inlineStr">
        <is>
          <t>IM005</t>
        </is>
      </c>
      <c r="C8" t="inlineStr">
        <is>
          <t>IMPERIAL SPAGHETTINI 200</t>
        </is>
      </c>
      <c r="D8" t="inlineStr">
        <is>
          <t>40/200 GRAMOS</t>
        </is>
      </c>
    </row>
    <row r="9">
      <c r="A9" t="inlineStr">
        <is>
          <t>PASTAS</t>
        </is>
      </c>
      <c r="B9" t="inlineStr">
        <is>
          <t>IM006</t>
        </is>
      </c>
      <c r="C9" t="inlineStr">
        <is>
          <t>IMPERIAL CODITOS 454</t>
        </is>
      </c>
      <c r="D9" t="inlineStr">
        <is>
          <t>20/454 GRAMOS</t>
        </is>
      </c>
    </row>
    <row r="10">
      <c r="A10" t="inlineStr">
        <is>
          <t>PASTAS</t>
        </is>
      </c>
      <c r="B10" t="inlineStr">
        <is>
          <t>IM007</t>
        </is>
      </c>
      <c r="C10" t="inlineStr">
        <is>
          <t>IMPERIAL CODITOS 250</t>
        </is>
      </c>
      <c r="D10" t="inlineStr">
        <is>
          <t>40/250 GRAMOS</t>
        </is>
      </c>
    </row>
    <row r="11">
      <c r="A11" t="inlineStr">
        <is>
          <t>PASTAS</t>
        </is>
      </c>
      <c r="B11" t="inlineStr">
        <is>
          <t>IM008</t>
        </is>
      </c>
      <c r="C11" t="inlineStr">
        <is>
          <t>IMPERIAL CODITOS 200</t>
        </is>
      </c>
      <c r="D11" t="inlineStr">
        <is>
          <t>40/200 GRAMOS</t>
        </is>
      </c>
    </row>
    <row r="12">
      <c r="A12" t="inlineStr">
        <is>
          <t>PASTAS</t>
        </is>
      </c>
      <c r="B12" t="inlineStr">
        <is>
          <t>IM009</t>
        </is>
      </c>
      <c r="C12" t="inlineStr">
        <is>
          <t>IMPERIAL PENNE 454</t>
        </is>
      </c>
      <c r="D12" t="inlineStr">
        <is>
          <t>20/454 GRAMOS</t>
        </is>
      </c>
    </row>
    <row r="13">
      <c r="A13" t="inlineStr">
        <is>
          <t>PASTAS</t>
        </is>
      </c>
      <c r="B13" t="inlineStr">
        <is>
          <t>IM010</t>
        </is>
      </c>
      <c r="C13" t="inlineStr">
        <is>
          <t>IMPERIAL TORNILLOS 454</t>
        </is>
      </c>
      <c r="D13" t="inlineStr">
        <is>
          <t>20/454 GRAMOS</t>
        </is>
      </c>
    </row>
    <row r="14">
      <c r="A14" t="inlineStr">
        <is>
          <t>SALSA DE TOMATE</t>
        </is>
      </c>
      <c r="B14" t="inlineStr">
        <is>
          <t>IM016</t>
        </is>
      </c>
      <c r="C14" t="inlineStr">
        <is>
          <t>IMPERIAL SALSA TRAD TOMATE 300</t>
        </is>
      </c>
      <c r="D14" t="inlineStr">
        <is>
          <t>32/300 GRAMOS</t>
        </is>
      </c>
    </row>
    <row r="15">
      <c r="A15" t="inlineStr">
        <is>
          <t>SALSA DE TOMATE</t>
        </is>
      </c>
      <c r="B15" t="inlineStr">
        <is>
          <t>IM017</t>
        </is>
      </c>
      <c r="C15" t="inlineStr">
        <is>
          <t>IMPERIAL SALSA TRAD TOMATE 140</t>
        </is>
      </c>
      <c r="D15" t="inlineStr">
        <is>
          <t>48/140 GRAMOS</t>
        </is>
      </c>
    </row>
    <row r="16">
      <c r="A16" t="inlineStr">
        <is>
          <t>SALSA DE TOMATE</t>
        </is>
      </c>
      <c r="B16" t="inlineStr">
        <is>
          <t>IM018</t>
        </is>
      </c>
      <c r="C16" t="inlineStr">
        <is>
          <t>IMPERIAL SALSA FINAS HIERB 140</t>
        </is>
      </c>
      <c r="D16" t="inlineStr">
        <is>
          <t>48/140 GRAMOS</t>
        </is>
      </c>
    </row>
    <row r="17">
      <c r="A17" t="inlineStr">
        <is>
          <t>SALSA DE TOMATE</t>
        </is>
      </c>
      <c r="B17" t="inlineStr">
        <is>
          <t>IM019</t>
        </is>
      </c>
      <c r="C17" t="inlineStr">
        <is>
          <t>IMPERIAL SALSA FINAS HIERB 300</t>
        </is>
      </c>
      <c r="D17" t="inlineStr">
        <is>
          <t>32/300 GRAMOS</t>
        </is>
      </c>
    </row>
    <row r="18">
      <c r="A18" t="inlineStr">
        <is>
          <t>SARDINAS</t>
        </is>
      </c>
      <c r="B18" t="inlineStr">
        <is>
          <t>IM013</t>
        </is>
      </c>
      <c r="C18" t="inlineStr">
        <is>
          <t>IMPERIAL SARDINA EN ACEITE 155</t>
        </is>
      </c>
      <c r="D18" t="inlineStr">
        <is>
          <t>50/155 GRAMOS</t>
        </is>
      </c>
    </row>
    <row r="19">
      <c r="A19" t="inlineStr">
        <is>
          <t>SARDINAS</t>
        </is>
      </c>
      <c r="B19" t="inlineStr">
        <is>
          <t>IM014</t>
        </is>
      </c>
      <c r="C19" t="inlineStr">
        <is>
          <t>IMPERIAL SARDINA EN TOMATE 155</t>
        </is>
      </c>
      <c r="D19" t="inlineStr">
        <is>
          <t>50/155 GRAMOS</t>
        </is>
      </c>
    </row>
    <row r="20">
      <c r="A20" t="inlineStr">
        <is>
          <t>SARDINAS</t>
        </is>
      </c>
      <c r="B20" t="inlineStr">
        <is>
          <t>IM015</t>
        </is>
      </c>
      <c r="C20" t="inlineStr">
        <is>
          <t>IMPERIAL SARDINA TOM PIC 155</t>
        </is>
      </c>
      <c r="D20" t="inlineStr">
        <is>
          <t>50/155 GRAMOS</t>
        </is>
      </c>
    </row>
    <row r="21">
      <c r="A21" t="inlineStr">
        <is>
          <t>SOPA CHINA</t>
        </is>
      </c>
      <c r="B21" t="inlineStr">
        <is>
          <t>IM020</t>
        </is>
      </c>
      <c r="C21" t="inlineStr">
        <is>
          <t>IMPERIAL RAMEN CARNE 85</t>
        </is>
      </c>
      <c r="D21" t="inlineStr">
        <is>
          <t>40/85 GRAMOS</t>
        </is>
      </c>
    </row>
    <row r="22">
      <c r="A22" t="inlineStr">
        <is>
          <t>SOPA CHINA</t>
        </is>
      </c>
      <c r="B22" t="inlineStr">
        <is>
          <t>IM021</t>
        </is>
      </c>
      <c r="C22" t="inlineStr">
        <is>
          <t>IMPERIAL RAMEN POLLO 85</t>
        </is>
      </c>
      <c r="D22" t="inlineStr">
        <is>
          <t>40/85 GRAMOS</t>
        </is>
      </c>
    </row>
    <row r="23">
      <c r="A23" t="inlineStr">
        <is>
          <t>SOPA CHINA</t>
        </is>
      </c>
      <c r="B23" t="inlineStr">
        <is>
          <t>IM022</t>
        </is>
      </c>
      <c r="C23" t="inlineStr">
        <is>
          <t>IMPERIAL RAMEN CAMARON 85</t>
        </is>
      </c>
      <c r="D23" t="inlineStr">
        <is>
          <t>40/85 GRAMOS</t>
        </is>
      </c>
    </row>
    <row r="24">
      <c r="A24" t="inlineStr">
        <is>
          <t>HOJUELAS</t>
        </is>
      </c>
      <c r="B24" s="41" t="n">
        <v>51525</v>
      </c>
      <c r="C24" s="42" t="inlineStr">
        <is>
          <t>MOLINO CRIOLLO HOJ.AVENA JUM</t>
        </is>
      </c>
      <c r="D24" t="inlineStr">
        <is>
          <t>12/454 GR</t>
        </is>
      </c>
    </row>
    <row r="25">
      <c r="A25" t="inlineStr">
        <is>
          <t>HOJUELAS</t>
        </is>
      </c>
      <c r="B25" s="41" t="n">
        <v>51578</v>
      </c>
      <c r="C25" s="42" t="inlineStr">
        <is>
          <t>MOLINO CRIOLLO HOJ AVENA</t>
        </is>
      </c>
      <c r="D25" t="inlineStr">
        <is>
          <t>24/350 GR</t>
        </is>
      </c>
    </row>
    <row r="26">
      <c r="A26" t="inlineStr">
        <is>
          <t>CREMA</t>
        </is>
      </c>
      <c r="B26" t="n">
        <v>51588</v>
      </c>
      <c r="C26" s="42" t="inlineStr">
        <is>
          <t>MOLINO CRIOLLO CREMA PLATANO</t>
        </is>
      </c>
      <c r="D26" t="inlineStr">
        <is>
          <t>24/300 GR</t>
        </is>
      </c>
    </row>
    <row r="27">
      <c r="A27" t="inlineStr">
        <is>
          <t>CREMA</t>
        </is>
      </c>
      <c r="B27" t="n">
        <v>51508</v>
      </c>
      <c r="C27" s="42" t="inlineStr">
        <is>
          <t>MOLINO CRIOLLO CREMA DE MAIZ</t>
        </is>
      </c>
      <c r="D27" t="inlineStr">
        <is>
          <t>24/300 GR</t>
        </is>
      </c>
    </row>
    <row r="28">
      <c r="A28" t="inlineStr">
        <is>
          <t>CREMA</t>
        </is>
      </c>
      <c r="B28" t="n">
        <v>51557</v>
      </c>
      <c r="C28" s="42" t="inlineStr">
        <is>
          <t>MOLINO CRIOLLO CREMA MAIZ FAM</t>
        </is>
      </c>
      <c r="D28" t="inlineStr">
        <is>
          <t>12/454 GR</t>
        </is>
      </c>
    </row>
    <row r="29">
      <c r="A29" t="inlineStr">
        <is>
          <t>CREMA</t>
        </is>
      </c>
      <c r="B29" t="n">
        <v>51586</v>
      </c>
      <c r="C29" s="42" t="inlineStr">
        <is>
          <t>MOLINO CRIOLLO CREMA PLATANO</t>
        </is>
      </c>
      <c r="D29" t="inlineStr">
        <is>
          <t>24/150 GR</t>
        </is>
      </c>
    </row>
    <row r="30">
      <c r="A30" t="inlineStr">
        <is>
          <t>HOJUELAS</t>
        </is>
      </c>
      <c r="B30" t="n">
        <v>51431</v>
      </c>
      <c r="C30" t="inlineStr">
        <is>
          <t>MOLINO CRIOLLO HOJ AVENA</t>
        </is>
      </c>
      <c r="D30" t="inlineStr">
        <is>
          <t>24/250 GR</t>
        </is>
      </c>
    </row>
    <row r="31">
      <c r="A31" t="inlineStr">
        <is>
          <t>HOJUELAS</t>
        </is>
      </c>
      <c r="B31" t="n">
        <v>51556</v>
      </c>
      <c r="C31" s="42" t="inlineStr">
        <is>
          <t>MOLINO CRIOLLO HOJ AVE CAN JUM</t>
        </is>
      </c>
      <c r="D31" t="inlineStr">
        <is>
          <t>12/454 GR</t>
        </is>
      </c>
    </row>
    <row r="32">
      <c r="A32" t="inlineStr">
        <is>
          <t>HOJUELAS</t>
        </is>
      </c>
      <c r="B32" t="n">
        <v>51526</v>
      </c>
      <c r="C32" s="42" t="inlineStr">
        <is>
          <t>MOLINO CRIOLLO HOJUELA AVENA</t>
        </is>
      </c>
      <c r="D32" t="inlineStr">
        <is>
          <t>12/600 GR</t>
        </is>
      </c>
    </row>
    <row r="33">
      <c r="A33" t="inlineStr">
        <is>
          <t>HOJUELAS</t>
        </is>
      </c>
      <c r="B33" t="n">
        <v>51427</v>
      </c>
      <c r="C33" t="inlineStr">
        <is>
          <t>MOLINO CRIOLLO HOJ.AVENA</t>
        </is>
      </c>
      <c r="D33" t="inlineStr">
        <is>
          <t>24/150 GR</t>
        </is>
      </c>
    </row>
    <row r="34">
      <c r="A34" t="inlineStr">
        <is>
          <t>CREMA</t>
        </is>
      </c>
      <c r="B34" t="n">
        <v>51513</v>
      </c>
      <c r="C34" t="inlineStr">
        <is>
          <t>MOLINO CRIOLLO CREMA DE MAIZ</t>
        </is>
      </c>
      <c r="D34" t="inlineStr">
        <is>
          <t>24/150 GR</t>
        </is>
      </c>
    </row>
    <row r="35">
      <c r="A35" t="inlineStr">
        <is>
          <t>HOJUELAS</t>
        </is>
      </c>
      <c r="B35" t="n">
        <v>51582</v>
      </c>
      <c r="C35" s="42" t="inlineStr">
        <is>
          <t>MOLINO CRIOLLO HOJ AVE CANELA</t>
        </is>
      </c>
      <c r="D35" t="inlineStr">
        <is>
          <t>24/350 GR</t>
        </is>
      </c>
    </row>
    <row r="36">
      <c r="A36" t="inlineStr">
        <is>
          <t>HOJUELAS</t>
        </is>
      </c>
      <c r="B36" t="n">
        <v>51432</v>
      </c>
      <c r="C36" t="inlineStr">
        <is>
          <t>MOLINO CRIOLLO HOJ AVE CANELA</t>
        </is>
      </c>
      <c r="D36" t="inlineStr">
        <is>
          <t>24/250 GR</t>
        </is>
      </c>
    </row>
    <row r="37">
      <c r="A37" t="inlineStr">
        <is>
          <t>CREMA</t>
        </is>
      </c>
      <c r="B37" t="n">
        <v>51589</v>
      </c>
      <c r="C37" s="42" t="inlineStr">
        <is>
          <t>MOLINO CRIOLLO CREMA PLATANO</t>
        </is>
      </c>
      <c r="D37" t="inlineStr">
        <is>
          <t>12/400 GR</t>
        </is>
      </c>
    </row>
    <row r="38">
      <c r="A38" t="inlineStr">
        <is>
          <t>HOJUELAS</t>
        </is>
      </c>
      <c r="B38" t="n">
        <v>51442</v>
      </c>
      <c r="C38" t="inlineStr">
        <is>
          <t>MOLINO CRIOLLO HOJ.AVENA</t>
        </is>
      </c>
      <c r="D38" t="inlineStr">
        <is>
          <t>36/40 GR</t>
        </is>
      </c>
    </row>
    <row r="39">
      <c r="A39" t="inlineStr">
        <is>
          <t>HOJUELAS</t>
        </is>
      </c>
      <c r="B39" t="n">
        <v>51428</v>
      </c>
      <c r="C39" s="42" t="inlineStr">
        <is>
          <t>MOLINO CRIOLLO HOJ.AVE CANELA</t>
        </is>
      </c>
      <c r="D39" t="inlineStr">
        <is>
          <t>24/150 GR</t>
        </is>
      </c>
    </row>
    <row r="40">
      <c r="A40" t="inlineStr">
        <is>
          <t>HOJUELAS</t>
        </is>
      </c>
      <c r="B40" t="n">
        <v>51555</v>
      </c>
      <c r="C40" s="42" t="inlineStr">
        <is>
          <t>MOLINO CRIOLLO HOJ AVE PASITA</t>
        </is>
      </c>
      <c r="D40" t="inlineStr">
        <is>
          <t>12/454 GR</t>
        </is>
      </c>
    </row>
    <row r="41">
      <c r="A41" t="inlineStr">
        <is>
          <t>DERIVADO DEL MAIZ</t>
        </is>
      </c>
      <c r="B41" t="n">
        <v>51539</v>
      </c>
      <c r="C41" s="42" t="inlineStr">
        <is>
          <t>MOLINO CRIOLLO CHICHEME</t>
        </is>
      </c>
      <c r="D41" t="inlineStr">
        <is>
          <t>24/300 GR</t>
        </is>
      </c>
    </row>
    <row r="42">
      <c r="A42" t="inlineStr">
        <is>
          <t>HOJUELAS</t>
        </is>
      </c>
      <c r="B42" t="n">
        <v>51529</v>
      </c>
      <c r="C42" t="inlineStr">
        <is>
          <t>MOLINO CRIOLLO HOJ AVENA 850</t>
        </is>
      </c>
      <c r="D42" t="inlineStr">
        <is>
          <t>9/850 GR</t>
        </is>
      </c>
    </row>
    <row r="43">
      <c r="A43" t="inlineStr">
        <is>
          <t>CREMA</t>
        </is>
      </c>
      <c r="B43" t="n">
        <v>51584</v>
      </c>
      <c r="C43" t="inlineStr">
        <is>
          <t>MOLINO CRIOLLO CREMA DE ARROZ</t>
        </is>
      </c>
      <c r="D43" t="inlineStr">
        <is>
          <t>24/300 GR</t>
        </is>
      </c>
    </row>
    <row r="44">
      <c r="A44" t="inlineStr">
        <is>
          <t>CREMA</t>
        </is>
      </c>
      <c r="B44" t="n">
        <v>51569</v>
      </c>
      <c r="C44" t="inlineStr">
        <is>
          <t>MOLINO CRIOLLO CREMA AVENA</t>
        </is>
      </c>
      <c r="D44" t="inlineStr">
        <is>
          <t>24/350 GR</t>
        </is>
      </c>
    </row>
    <row r="45">
      <c r="A45" t="inlineStr">
        <is>
          <t>CAFE</t>
        </is>
      </c>
      <c r="B45" t="n">
        <v>10006</v>
      </c>
      <c r="C45" t="inlineStr">
        <is>
          <t>MOLINO CRIOLLO CAFE INT CAPPUC</t>
        </is>
      </c>
      <c r="D45" t="inlineStr">
        <is>
          <t>100/20 GR</t>
        </is>
      </c>
    </row>
    <row r="46">
      <c r="A46" t="inlineStr">
        <is>
          <t>CREMA</t>
        </is>
      </c>
      <c r="B46" t="n">
        <v>51435</v>
      </c>
      <c r="C46" t="inlineStr">
        <is>
          <t>MOLINO CRIOLLO CREMA AVE CANEL</t>
        </is>
      </c>
      <c r="D46" t="inlineStr">
        <is>
          <t>24/250 GR</t>
        </is>
      </c>
    </row>
    <row r="47">
      <c r="A47" t="inlineStr">
        <is>
          <t>CREMA</t>
        </is>
      </c>
      <c r="B47" t="n">
        <v>51440</v>
      </c>
      <c r="C47" t="inlineStr">
        <is>
          <t>MOLINO CRIOLLO CREMA DE MAIZ</t>
        </is>
      </c>
      <c r="D47" t="inlineStr">
        <is>
          <t>36/40 GR</t>
        </is>
      </c>
    </row>
    <row r="48">
      <c r="A48" t="inlineStr">
        <is>
          <t>CAFE</t>
        </is>
      </c>
      <c r="B48" t="n">
        <v>10007</v>
      </c>
      <c r="C48" t="inlineStr">
        <is>
          <t>MOLINO CRIOLLO CAFE INST MOCCA</t>
        </is>
      </c>
      <c r="D48" t="inlineStr">
        <is>
          <t>100/20 GR</t>
        </is>
      </c>
    </row>
    <row r="49">
      <c r="A49" t="inlineStr">
        <is>
          <t>PANCAKES WAFFLES AVENA NATURAL</t>
        </is>
      </c>
      <c r="B49" t="n">
        <v>81904</v>
      </c>
      <c r="C49" t="inlineStr">
        <is>
          <t>PANCAKES WAFFLES AVENA INTEGRA</t>
        </is>
      </c>
      <c r="D49" t="inlineStr">
        <is>
          <t>12/340 GR</t>
        </is>
      </c>
    </row>
    <row r="50">
      <c r="A50" t="inlineStr">
        <is>
          <t>CREMA</t>
        </is>
      </c>
      <c r="B50" t="n">
        <v>81930</v>
      </c>
      <c r="C50" t="inlineStr">
        <is>
          <t>CREM MAIZ 454g Y CREM PLAT 40g</t>
        </is>
      </c>
      <c r="D50" t="inlineStr">
        <is>
          <t>36/40 GR</t>
        </is>
      </c>
    </row>
    <row r="51">
      <c r="A51" t="inlineStr">
        <is>
          <t>HARINA</t>
        </is>
      </c>
      <c r="B51" t="n">
        <v>81918</v>
      </c>
      <c r="C51" t="inlineStr">
        <is>
          <t>MOLINO HARINA MULTIUSO AVENA</t>
        </is>
      </c>
      <c r="D51" t="inlineStr">
        <is>
          <t>12/500 GR</t>
        </is>
      </c>
    </row>
    <row r="52">
      <c r="A52" t="inlineStr">
        <is>
          <t>CREMA</t>
        </is>
      </c>
      <c r="B52" t="n">
        <v>81931</v>
      </c>
      <c r="C52" t="inlineStr">
        <is>
          <t>CREM MAIZ 300g Y HOJ CANEL 40g</t>
        </is>
      </c>
      <c r="D52" t="inlineStr">
        <is>
          <t>36/40 GR</t>
        </is>
      </c>
    </row>
    <row r="53">
      <c r="A53" t="inlineStr">
        <is>
          <t>PANCAKES WAFFLES AVENA NATURAL</t>
        </is>
      </c>
      <c r="B53" t="n">
        <v>81902</v>
      </c>
      <c r="C53" t="inlineStr">
        <is>
          <t>PANCAKES WAFFLES AVENA NATURAL</t>
        </is>
      </c>
      <c r="D53" t="inlineStr">
        <is>
          <t>12/340 GR</t>
        </is>
      </c>
    </row>
    <row r="54">
      <c r="A54" t="inlineStr">
        <is>
          <t>DERIVADO DEL MAIZ</t>
        </is>
      </c>
      <c r="B54" t="n">
        <v>51565</v>
      </c>
      <c r="C54" t="inlineStr">
        <is>
          <t>MOLINO CRIOLLO ATOL</t>
        </is>
      </c>
      <c r="D54" t="inlineStr">
        <is>
          <t>24/300 GR</t>
        </is>
      </c>
    </row>
    <row r="55">
      <c r="A55" t="inlineStr">
        <is>
          <t>CAFE</t>
        </is>
      </c>
      <c r="B55" t="n">
        <v>10008</v>
      </c>
      <c r="C55" t="inlineStr">
        <is>
          <t>MOLINO CRIOLLO CAFE INS 3 EN 1</t>
        </is>
      </c>
      <c r="D55" t="inlineStr">
        <is>
          <t>100/20 GR</t>
        </is>
      </c>
    </row>
    <row r="56">
      <c r="A56" t="inlineStr">
        <is>
          <t>PANCAKES WAFFLES AVENA NATURAL</t>
        </is>
      </c>
      <c r="B56" t="n">
        <v>81913</v>
      </c>
      <c r="C56" t="inlineStr">
        <is>
          <t>MOLINO PANCAKE AVENA SOLO AGUA</t>
        </is>
      </c>
      <c r="D56" t="inlineStr">
        <is>
          <t>12/340 GR</t>
        </is>
      </c>
    </row>
    <row r="57">
      <c r="A57" t="inlineStr">
        <is>
          <t>PANCAKES WAFFLES AVENA NATURAL</t>
        </is>
      </c>
      <c r="B57" t="n">
        <v>81906</v>
      </c>
      <c r="C57" t="inlineStr">
        <is>
          <t>PANCAKES WAFFLES AVENA CANELA</t>
        </is>
      </c>
      <c r="D57" t="inlineStr">
        <is>
          <t>12/340 GR</t>
        </is>
      </c>
    </row>
    <row r="58">
      <c r="A58" t="inlineStr">
        <is>
          <t>HOJUELAS</t>
        </is>
      </c>
      <c r="B58" t="n">
        <v>51445</v>
      </c>
      <c r="C58" t="inlineStr">
        <is>
          <t>MOLINO CRIOLLO HOJ.AVE/CANELA</t>
        </is>
      </c>
      <c r="D58" t="inlineStr">
        <is>
          <t>36/40 GR</t>
        </is>
      </c>
    </row>
    <row r="59">
      <c r="A59" t="inlineStr">
        <is>
          <t>BEBIDAS</t>
        </is>
      </c>
      <c r="B59" t="n">
        <v>11122</v>
      </c>
      <c r="C59" t="inlineStr">
        <is>
          <t>MOLINO CRIOLLO BEBIDA AVENA V</t>
        </is>
      </c>
      <c r="D59" t="inlineStr">
        <is>
          <t>24/200 ML</t>
        </is>
      </c>
    </row>
    <row r="60">
      <c r="A60" t="inlineStr">
        <is>
          <t>CREMA</t>
        </is>
      </c>
      <c r="B60" t="n">
        <v>51441</v>
      </c>
      <c r="C60" t="inlineStr">
        <is>
          <t>MOLINO CRIOLLO CREMA AVENA</t>
        </is>
      </c>
      <c r="D60" t="inlineStr">
        <is>
          <t>36/40 GR</t>
        </is>
      </c>
    </row>
    <row r="61">
      <c r="A61" t="inlineStr">
        <is>
          <t>CREMA</t>
        </is>
      </c>
      <c r="B61" t="n">
        <v>51429</v>
      </c>
      <c r="C61" t="inlineStr">
        <is>
          <t>MOLINO CRIOLLO CREMA AVENA</t>
        </is>
      </c>
      <c r="D61" t="inlineStr">
        <is>
          <t>24/150 GR</t>
        </is>
      </c>
    </row>
    <row r="62">
      <c r="A62" t="inlineStr">
        <is>
          <t>CREMA</t>
        </is>
      </c>
      <c r="B62" t="n">
        <v>51434</v>
      </c>
      <c r="C62" t="inlineStr">
        <is>
          <t>MOLINO CRIOLLO CREMA AVENA</t>
        </is>
      </c>
      <c r="D62" t="inlineStr">
        <is>
          <t>24/250 GR</t>
        </is>
      </c>
    </row>
    <row r="63">
      <c r="A63" t="inlineStr">
        <is>
          <t>HOJUELAS</t>
        </is>
      </c>
      <c r="B63" t="n">
        <v>51433</v>
      </c>
      <c r="C63" t="inlineStr">
        <is>
          <t>MOLINO CRIOLLO HOJ.AVE PASITA</t>
        </is>
      </c>
      <c r="D63" t="inlineStr">
        <is>
          <t>24/250 GR</t>
        </is>
      </c>
    </row>
    <row r="64">
      <c r="A64" t="inlineStr">
        <is>
          <t>PANCAKES WAFFLES AVENA NATURAL</t>
        </is>
      </c>
      <c r="B64" t="n">
        <v>81910</v>
      </c>
      <c r="C64" t="inlineStr">
        <is>
          <t>PANCAKE AVENA INTEGRAL</t>
        </is>
      </c>
      <c r="D64" t="inlineStr">
        <is>
          <t>12/510 GR</t>
        </is>
      </c>
    </row>
    <row r="65">
      <c r="A65" t="inlineStr">
        <is>
          <t>PANCAKES WAFFLES AVENA NATURAL</t>
        </is>
      </c>
      <c r="B65" t="n">
        <v>81940</v>
      </c>
      <c r="C65" t="inlineStr">
        <is>
          <t>MOLINO CRIOLLO PANCAKE S AGUA</t>
        </is>
      </c>
      <c r="D65" t="inlineStr">
        <is>
          <t>12/454 GR</t>
        </is>
      </c>
    </row>
    <row r="66">
      <c r="A66" t="inlineStr">
        <is>
          <t>MAICENA</t>
        </is>
      </c>
      <c r="B66" t="n">
        <v>81281</v>
      </c>
      <c r="C66" t="inlineStr">
        <is>
          <t>MOLINO CRIOLLO FRESA</t>
        </is>
      </c>
      <c r="D66" t="inlineStr">
        <is>
          <t>20/50 GR</t>
        </is>
      </c>
    </row>
    <row r="67">
      <c r="A67" t="inlineStr">
        <is>
          <t>HARINA</t>
        </is>
      </c>
      <c r="B67" t="n">
        <v>11091</v>
      </c>
      <c r="C67" t="inlineStr">
        <is>
          <t>HARINA MAIZ PREC AMARILLO 1000</t>
        </is>
      </c>
      <c r="D67" t="inlineStr">
        <is>
          <t>20/1000 GR</t>
        </is>
      </c>
    </row>
    <row r="68">
      <c r="A68" t="inlineStr">
        <is>
          <t>PANCAKES WAFFLES AVENA NATURAL</t>
        </is>
      </c>
      <c r="B68" t="n">
        <v>81909</v>
      </c>
      <c r="C68" t="inlineStr">
        <is>
          <t>PANCAKE AVENA NATURAL</t>
        </is>
      </c>
      <c r="D68" t="inlineStr">
        <is>
          <t>12/510 GR</t>
        </is>
      </c>
    </row>
    <row r="69">
      <c r="A69" t="inlineStr">
        <is>
          <t>PANCAKES WAFFLES AVENA NATURAL</t>
        </is>
      </c>
      <c r="B69" t="n">
        <v>81911</v>
      </c>
      <c r="C69" t="inlineStr">
        <is>
          <t>PANCAKE AVENA CANELA</t>
        </is>
      </c>
      <c r="D69" t="inlineStr">
        <is>
          <t>12/510 GR</t>
        </is>
      </c>
    </row>
    <row r="70">
      <c r="A70" t="inlineStr">
        <is>
          <t>CREMA</t>
        </is>
      </c>
      <c r="B70" t="n">
        <v>51430</v>
      </c>
      <c r="C70" t="inlineStr">
        <is>
          <t>MOLINO CRIOLLO CREMA AVE CANEL</t>
        </is>
      </c>
      <c r="D70" t="inlineStr">
        <is>
          <t>24/150 GR</t>
        </is>
      </c>
    </row>
    <row r="71">
      <c r="A71" t="inlineStr">
        <is>
          <t>HARINA</t>
        </is>
      </c>
      <c r="B71" t="n">
        <v>11093</v>
      </c>
      <c r="C71" t="inlineStr">
        <is>
          <t>HARINA MAIZ PREC BLANCO 1000</t>
        </is>
      </c>
      <c r="D71" t="inlineStr">
        <is>
          <t>20/1000 GR</t>
        </is>
      </c>
    </row>
    <row r="72">
      <c r="A72" t="inlineStr">
        <is>
          <t>CREMA</t>
        </is>
      </c>
      <c r="B72" t="n">
        <v>51558</v>
      </c>
      <c r="C72" t="inlineStr">
        <is>
          <t>MOLINO CREMA DE MAIZ CCANELA</t>
        </is>
      </c>
      <c r="D72" t="inlineStr">
        <is>
          <t>12/454 GR</t>
        </is>
      </c>
    </row>
    <row r="73">
      <c r="A73" t="inlineStr">
        <is>
          <t>HOJUELAS</t>
        </is>
      </c>
      <c r="B73" t="n">
        <v>51530</v>
      </c>
      <c r="C73" t="inlineStr">
        <is>
          <t>MOLINO CRIOLLO HOJ AVENA 300GR</t>
        </is>
      </c>
      <c r="D73" t="inlineStr">
        <is>
          <t>24/300 GR</t>
        </is>
      </c>
    </row>
    <row r="74">
      <c r="A74" t="inlineStr">
        <is>
          <t>HOJUELAS</t>
        </is>
      </c>
      <c r="B74" t="n">
        <v>51528</v>
      </c>
      <c r="C74" t="inlineStr">
        <is>
          <t>MOLINO CRIOLLO HOJ AVENA INTEG</t>
        </is>
      </c>
      <c r="D74" t="inlineStr">
        <is>
          <t>24/300 GR</t>
        </is>
      </c>
    </row>
    <row r="75">
      <c r="A75" t="inlineStr">
        <is>
          <t>HOJUELAS</t>
        </is>
      </c>
      <c r="B75" t="n">
        <v>51403</v>
      </c>
      <c r="C75" t="inlineStr">
        <is>
          <t>MOLINO CRIOLLO HOJ AVE PASITA</t>
        </is>
      </c>
      <c r="D75" t="inlineStr">
        <is>
          <t>24/150 GR</t>
        </is>
      </c>
    </row>
    <row r="76">
      <c r="A76" t="inlineStr">
        <is>
          <t>MAICENA</t>
        </is>
      </c>
      <c r="B76" t="n">
        <v>80181</v>
      </c>
      <c r="C76" t="inlineStr">
        <is>
          <t>MAICENA FRESA DOY PACK</t>
        </is>
      </c>
      <c r="D76" t="inlineStr">
        <is>
          <t>24/190 GR</t>
        </is>
      </c>
    </row>
    <row r="77">
      <c r="A77" t="inlineStr">
        <is>
          <t>CEREAL INFANTIL MOLINO CRIOLLO</t>
        </is>
      </c>
      <c r="B77" t="n">
        <v>10003</v>
      </c>
      <c r="C77" t="inlineStr">
        <is>
          <t>MOLINO CRIOLLO CER INF TR Y MI</t>
        </is>
      </c>
      <c r="D77" t="inlineStr">
        <is>
          <t>12/200 GR</t>
        </is>
      </c>
    </row>
    <row r="78">
      <c r="A78" t="inlineStr">
        <is>
          <t>CEREAL INFANTIL MOLINO CRIOLLO</t>
        </is>
      </c>
      <c r="B78" t="n">
        <v>10005</v>
      </c>
      <c r="C78" t="inlineStr">
        <is>
          <t>MOLINO CRIOLLO CER INF 5 CEREA</t>
        </is>
      </c>
      <c r="D78" t="inlineStr">
        <is>
          <t>12/200 GR</t>
        </is>
      </c>
    </row>
    <row r="79">
      <c r="A79" t="inlineStr">
        <is>
          <t>HARINA</t>
        </is>
      </c>
      <c r="B79" t="n">
        <v>11092</v>
      </c>
      <c r="C79" t="inlineStr">
        <is>
          <t>HARINA MAIZ PREC AMARILLO 500</t>
        </is>
      </c>
      <c r="D79" t="inlineStr">
        <is>
          <t>24/500 GR</t>
        </is>
      </c>
    </row>
    <row r="80">
      <c r="A80" t="inlineStr">
        <is>
          <t>CREMA</t>
        </is>
      </c>
      <c r="B80" t="n">
        <v>51559</v>
      </c>
      <c r="C80" t="inlineStr">
        <is>
          <t>Molino C Crema Maiz Canela300g</t>
        </is>
      </c>
      <c r="D80" t="inlineStr">
        <is>
          <t>24/300 GR</t>
        </is>
      </c>
    </row>
    <row r="81">
      <c r="A81" t="inlineStr">
        <is>
          <t>MAICENA</t>
        </is>
      </c>
      <c r="B81" t="n">
        <v>81282</v>
      </c>
      <c r="C81" t="inlineStr">
        <is>
          <t>MOLINO CRIOLLO PINA</t>
        </is>
      </c>
      <c r="D81" t="inlineStr">
        <is>
          <t>20/50 GR</t>
        </is>
      </c>
    </row>
    <row r="82">
      <c r="A82" t="inlineStr">
        <is>
          <t>PANCAKES WAFFLES AVENA NATURAL</t>
        </is>
      </c>
      <c r="B82" t="n">
        <v>81919</v>
      </c>
      <c r="C82" t="inlineStr">
        <is>
          <t>MOLINO CRIOLLO PANC. SOLO AGUA</t>
        </is>
      </c>
      <c r="D82" t="inlineStr">
        <is>
          <t>12/100 GR</t>
        </is>
      </c>
    </row>
    <row r="83">
      <c r="A83" t="inlineStr">
        <is>
          <t>MAICENA</t>
        </is>
      </c>
      <c r="B83" t="n">
        <v>81294</v>
      </c>
      <c r="C83" t="inlineStr">
        <is>
          <t>MOLINO CRIOLLO BANANA</t>
        </is>
      </c>
      <c r="D83" t="inlineStr">
        <is>
          <t>20/50 GR</t>
        </is>
      </c>
    </row>
    <row r="84">
      <c r="A84" t="inlineStr">
        <is>
          <t>DERIVADO DEL MAIZ</t>
        </is>
      </c>
      <c r="B84" t="n">
        <v>51521</v>
      </c>
      <c r="C84" t="inlineStr">
        <is>
          <t>MOLINO CRIOLLO MAIZ PILADO</t>
        </is>
      </c>
      <c r="D84" t="inlineStr">
        <is>
          <t>24/300 GR</t>
        </is>
      </c>
    </row>
    <row r="85">
      <c r="A85" t="inlineStr">
        <is>
          <t>MAICENA</t>
        </is>
      </c>
      <c r="B85" t="n">
        <v>81280</v>
      </c>
      <c r="C85" t="inlineStr">
        <is>
          <t>MOLINO CRIOLLO VAINILLA</t>
        </is>
      </c>
      <c r="D85" t="inlineStr">
        <is>
          <t>20/50 GR</t>
        </is>
      </c>
    </row>
    <row r="86">
      <c r="A86" t="inlineStr">
        <is>
          <t>PANCAKES WAFFLES AVENA NATURAL</t>
        </is>
      </c>
      <c r="B86" t="n">
        <v>81905</v>
      </c>
      <c r="C86" t="inlineStr">
        <is>
          <t>PANCAKES WAFFLES AVENA CANELA</t>
        </is>
      </c>
      <c r="D86" t="inlineStr">
        <is>
          <t>24/170 GR</t>
        </is>
      </c>
    </row>
    <row r="87">
      <c r="A87" t="inlineStr">
        <is>
          <t>MAICENA</t>
        </is>
      </c>
      <c r="B87" t="n">
        <v>80180</v>
      </c>
      <c r="C87" t="inlineStr">
        <is>
          <t>MAICENA VAINILLA DOY PACK</t>
        </is>
      </c>
      <c r="D87" t="inlineStr">
        <is>
          <t>24/190 GR</t>
        </is>
      </c>
    </row>
    <row r="88">
      <c r="A88" t="inlineStr">
        <is>
          <t>PANCAKES WAFFLES AVENA NATURAL</t>
        </is>
      </c>
      <c r="B88" t="n">
        <v>81901</v>
      </c>
      <c r="C88" t="inlineStr">
        <is>
          <t>PANCAKES WAFFLES AVENA NATURAL</t>
        </is>
      </c>
      <c r="D88" t="inlineStr">
        <is>
          <t>24/170 GR</t>
        </is>
      </c>
    </row>
    <row r="89">
      <c r="A89" t="inlineStr">
        <is>
          <t>HARINA</t>
        </is>
      </c>
      <c r="B89" t="n">
        <v>11094</v>
      </c>
      <c r="C89" t="inlineStr">
        <is>
          <t>HARINA MAIZ PREC BLANCO 500</t>
        </is>
      </c>
      <c r="D89" t="inlineStr">
        <is>
          <t>24/500 GR</t>
        </is>
      </c>
    </row>
    <row r="90">
      <c r="A90" t="inlineStr">
        <is>
          <t>PANCAKES WAFFLES AVENA NATURAL</t>
        </is>
      </c>
      <c r="B90" t="n">
        <v>81903</v>
      </c>
      <c r="C90" t="inlineStr">
        <is>
          <t>PANCAKES WAFFLES AVENA INTEGRA</t>
        </is>
      </c>
      <c r="D90" t="inlineStr">
        <is>
          <t>24/170 GR</t>
        </is>
      </c>
    </row>
    <row r="91">
      <c r="A91" t="inlineStr">
        <is>
          <t>CREMA</t>
        </is>
      </c>
      <c r="B91" t="n">
        <v>51564</v>
      </c>
      <c r="C91" t="inlineStr">
        <is>
          <t>Molino C Crema Maiz Pasas 300g</t>
        </is>
      </c>
      <c r="D91" t="inlineStr">
        <is>
          <t>24/300 GR</t>
        </is>
      </c>
    </row>
    <row r="92">
      <c r="A92" t="inlineStr">
        <is>
          <t>MAICENA</t>
        </is>
      </c>
      <c r="B92" t="n">
        <v>81286</v>
      </c>
      <c r="C92" t="inlineStr">
        <is>
          <t>MOLINO CRIOLLO MELOCOTON</t>
        </is>
      </c>
      <c r="D92" t="inlineStr">
        <is>
          <t>20/50 GR</t>
        </is>
      </c>
    </row>
    <row r="93">
      <c r="A93" t="inlineStr">
        <is>
          <t>CEREAL INFANTIL MOLINO CRIOLLO</t>
        </is>
      </c>
      <c r="B93" t="n">
        <v>10004</v>
      </c>
      <c r="C93" t="inlineStr">
        <is>
          <t>MOLINO CRIOLLO CEREAL INF ARRO</t>
        </is>
      </c>
      <c r="D93" t="inlineStr">
        <is>
          <t>12/200 GR</t>
        </is>
      </c>
    </row>
    <row r="94">
      <c r="A94" t="inlineStr">
        <is>
          <t>CREMA</t>
        </is>
      </c>
      <c r="B94" t="n">
        <v>51444</v>
      </c>
      <c r="C94" t="inlineStr">
        <is>
          <t>MOLINO CRIOLLO CREMA DE PLATAN</t>
        </is>
      </c>
      <c r="D94" t="inlineStr">
        <is>
          <t>36/40 GR</t>
        </is>
      </c>
    </row>
    <row r="95">
      <c r="A95" t="inlineStr">
        <is>
          <t>HARINAS PREPARADAS</t>
        </is>
      </c>
      <c r="B95" t="n">
        <v>81401</v>
      </c>
      <c r="C95" t="inlineStr">
        <is>
          <t>CAKE MIX VAINIL C CHISP CH 270</t>
        </is>
      </c>
      <c r="D95" t="inlineStr">
        <is>
          <t>16/270 GR</t>
        </is>
      </c>
    </row>
    <row r="96">
      <c r="A96" t="inlineStr">
        <is>
          <t>MAICENA</t>
        </is>
      </c>
      <c r="B96" t="n">
        <v>81284</v>
      </c>
      <c r="C96" t="inlineStr">
        <is>
          <t>MOLINO CRIOLLO NATURAL</t>
        </is>
      </c>
      <c r="D96" t="inlineStr">
        <is>
          <t>20/50 GR</t>
        </is>
      </c>
    </row>
    <row r="97">
      <c r="A97" t="inlineStr">
        <is>
          <t>CREMA</t>
        </is>
      </c>
      <c r="B97" t="n">
        <v>51563</v>
      </c>
      <c r="C97" t="inlineStr">
        <is>
          <t>Molino C Crema Maiz Pasas 454g</t>
        </is>
      </c>
      <c r="D97" t="inlineStr">
        <is>
          <t>12/454 GR</t>
        </is>
      </c>
    </row>
    <row r="98">
      <c r="A98" t="inlineStr">
        <is>
          <t>MAICENA</t>
        </is>
      </c>
      <c r="B98" t="n">
        <v>81285</v>
      </c>
      <c r="C98" t="inlineStr">
        <is>
          <t>MOLINO CRIOLLO DULCE D LECHE</t>
        </is>
      </c>
      <c r="D98" t="inlineStr">
        <is>
          <t>20/50 GR</t>
        </is>
      </c>
    </row>
    <row r="99">
      <c r="A99" t="inlineStr">
        <is>
          <t>HARINAS PREPARADAS</t>
        </is>
      </c>
      <c r="B99" t="n">
        <v>81400</v>
      </c>
      <c r="C99" t="inlineStr">
        <is>
          <t>CAKE MIX CHOC C CHIS CHOC 270</t>
        </is>
      </c>
      <c r="D99" t="inlineStr">
        <is>
          <t>16/270 GR</t>
        </is>
      </c>
    </row>
    <row r="100">
      <c r="A100" t="inlineStr">
        <is>
          <t>CEREAL INFANTIL MOLINO CRIOLLO</t>
        </is>
      </c>
      <c r="B100" t="n">
        <v>10002</v>
      </c>
      <c r="C100" t="inlineStr">
        <is>
          <t>MOLINO CRIOLLO CERE INF AVENA</t>
        </is>
      </c>
      <c r="D100" t="inlineStr">
        <is>
          <t>12/200 GR</t>
        </is>
      </c>
    </row>
    <row r="101">
      <c r="A101" t="inlineStr">
        <is>
          <t>MAICENA</t>
        </is>
      </c>
      <c r="B101" t="n">
        <v>80184</v>
      </c>
      <c r="C101" t="inlineStr">
        <is>
          <t>MAICENA NATURAL DOY PACK</t>
        </is>
      </c>
      <c r="D101" t="inlineStr">
        <is>
          <t>24/190 GR</t>
        </is>
      </c>
    </row>
    <row r="102">
      <c r="A102" t="inlineStr">
        <is>
          <t>CREMA</t>
        </is>
      </c>
      <c r="B102" t="n">
        <v>51446</v>
      </c>
      <c r="C102" t="inlineStr">
        <is>
          <t>MOLINO CRIOLLO CREMA AVE/CANEL</t>
        </is>
      </c>
      <c r="D102" t="inlineStr">
        <is>
          <t>36/40 GR</t>
        </is>
      </c>
    </row>
    <row r="103">
      <c r="A103" t="inlineStr">
        <is>
          <t>CREMA</t>
        </is>
      </c>
      <c r="B103" t="n">
        <v>51560</v>
      </c>
      <c r="C103" t="inlineStr">
        <is>
          <t>Molino C Crema Maiz Canela150g</t>
        </is>
      </c>
      <c r="D103" t="inlineStr">
        <is>
          <t>24/150 GR</t>
        </is>
      </c>
    </row>
    <row r="104">
      <c r="A104" t="inlineStr">
        <is>
          <t>DERIVADO DEL MAIZ</t>
        </is>
      </c>
      <c r="B104" t="n">
        <v>51509</v>
      </c>
      <c r="C104" t="inlineStr">
        <is>
          <t>MOLINO CRIOLLO HARINA DE MAIZ</t>
        </is>
      </c>
      <c r="D104" t="inlineStr">
        <is>
          <t>24/300 GR</t>
        </is>
      </c>
    </row>
    <row r="105">
      <c r="A105" t="inlineStr">
        <is>
          <t>MAICENA</t>
        </is>
      </c>
      <c r="B105" t="n">
        <v>81283</v>
      </c>
      <c r="C105" t="inlineStr">
        <is>
          <t>MOLINO CRIOLLO CANELA</t>
        </is>
      </c>
      <c r="D105" t="inlineStr">
        <is>
          <t>20/50 GR</t>
        </is>
      </c>
    </row>
    <row r="106">
      <c r="A106" t="inlineStr">
        <is>
          <t>CREMA</t>
        </is>
      </c>
      <c r="B106" t="n">
        <v>51443</v>
      </c>
      <c r="C106" t="inlineStr">
        <is>
          <t>MOLINO CRIOLLO CREMA DE ARROZ</t>
        </is>
      </c>
      <c r="D106" t="inlineStr">
        <is>
          <t>36/50 GR</t>
        </is>
      </c>
    </row>
    <row r="107">
      <c r="A107" t="inlineStr">
        <is>
          <t>CREMA</t>
        </is>
      </c>
      <c r="B107" t="n">
        <v>51566</v>
      </c>
      <c r="C107" t="inlineStr">
        <is>
          <t>Molino C Crema Maiz Pasas 150g</t>
        </is>
      </c>
      <c r="D107" t="inlineStr">
        <is>
          <t>24/150 GR</t>
        </is>
      </c>
    </row>
    <row r="108">
      <c r="A108" t="inlineStr">
        <is>
          <t>MAICENA</t>
        </is>
      </c>
      <c r="B108" t="n">
        <v>81290</v>
      </c>
      <c r="C108" t="inlineStr">
        <is>
          <t>M.CRIOLLO MAICENA SURTIDA FRE</t>
        </is>
      </c>
      <c r="D108" t="inlineStr">
        <is>
          <t>20/50 GR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Jhoan Medina</dc:creator>
  <dcterms:created xmlns:dcterms="http://purl.org/dc/terms/" xmlns:xsi="http://www.w3.org/2001/XMLSchema-instance" xsi:type="dcterms:W3CDTF">2026-06-12T13:53:33Z</dcterms:created>
  <dcterms:modified xmlns:dcterms="http://purl.org/dc/terms/" xmlns:xsi="http://www.w3.org/2001/XMLSchema-instance" xsi:type="dcterms:W3CDTF">2026-06-16T21:43:23Z</dcterms:modified>
  <cp:lastModifiedBy>Jhoan Medina</cp:lastModifiedBy>
</cp:coreProperties>
</file>